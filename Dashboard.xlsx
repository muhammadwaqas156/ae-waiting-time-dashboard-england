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uhammad Waqas\Downloads\"/>
    </mc:Choice>
  </mc:AlternateContent>
  <xr:revisionPtr revIDLastSave="0" documentId="13_ncr:1_{27C47C92-0A19-4EA8-8083-95CFB9F39DC1}" xr6:coauthVersionLast="47" xr6:coauthVersionMax="47" xr10:uidLastSave="{00000000-0000-0000-0000-000000000000}"/>
  <bookViews>
    <workbookView xWindow="-120" yWindow="-120" windowWidth="20730" windowHeight="11160" xr2:uid="{EB274715-8433-4813-86FF-BA27EC77C8A7}"/>
  </bookViews>
  <sheets>
    <sheet name="Final Dashboard" sheetId="2" r:id="rId1"/>
    <sheet name="Sheet3" sheetId="9" r:id="rId2"/>
    <sheet name="Sheet4" sheetId="10" r:id="rId3"/>
    <sheet name="Detail1" sheetId="12" r:id="rId4"/>
    <sheet name="Sheet5" sheetId="11" r:id="rId5"/>
    <sheet name="Sheet1" sheetId="1" r:id="rId6"/>
  </sheets>
  <definedNames>
    <definedName name="Slicer_Quarter___Year">#N/A</definedName>
  </definedNames>
  <calcPr calcId="191029"/>
  <pivotCaches>
    <pivotCache cacheId="1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2" i="1"/>
  <c r="D3" i="1"/>
  <c r="E3" i="1" s="1"/>
  <c r="J3" i="1" s="1"/>
  <c r="D4" i="1"/>
  <c r="E4" i="1" s="1"/>
  <c r="J4" i="1" s="1"/>
  <c r="D5" i="1"/>
  <c r="E5" i="1" s="1"/>
  <c r="J5" i="1" s="1"/>
  <c r="D6" i="1"/>
  <c r="E6" i="1" s="1"/>
  <c r="K6" i="1" s="1"/>
  <c r="D7" i="1"/>
  <c r="E7" i="1" s="1"/>
  <c r="J7" i="1" s="1"/>
  <c r="D8" i="1"/>
  <c r="E8" i="1" s="1"/>
  <c r="J8" i="1" s="1"/>
  <c r="D9" i="1"/>
  <c r="E9" i="1" s="1"/>
  <c r="J9" i="1" s="1"/>
  <c r="D10" i="1"/>
  <c r="E10" i="1" s="1"/>
  <c r="K10" i="1" s="1"/>
  <c r="D11" i="1"/>
  <c r="E11" i="1" s="1"/>
  <c r="J11" i="1" s="1"/>
  <c r="D12" i="1"/>
  <c r="E12" i="1" s="1"/>
  <c r="J12" i="1" s="1"/>
  <c r="D13" i="1"/>
  <c r="E13" i="1" s="1"/>
  <c r="J13" i="1" s="1"/>
  <c r="D14" i="1"/>
  <c r="E14" i="1" s="1"/>
  <c r="K14" i="1" s="1"/>
  <c r="D15" i="1"/>
  <c r="E15" i="1" s="1"/>
  <c r="J15" i="1" s="1"/>
  <c r="D16" i="1"/>
  <c r="E16" i="1" s="1"/>
  <c r="J16" i="1" s="1"/>
  <c r="D17" i="1"/>
  <c r="E17" i="1" s="1"/>
  <c r="J17" i="1" s="1"/>
  <c r="D18" i="1"/>
  <c r="E18" i="1" s="1"/>
  <c r="K18" i="1" s="1"/>
  <c r="D19" i="1"/>
  <c r="E19" i="1" s="1"/>
  <c r="J19" i="1" s="1"/>
  <c r="D20" i="1"/>
  <c r="E20" i="1" s="1"/>
  <c r="J20" i="1" s="1"/>
  <c r="D21" i="1"/>
  <c r="E21" i="1" s="1"/>
  <c r="J21" i="1" s="1"/>
  <c r="D22" i="1"/>
  <c r="E22" i="1" s="1"/>
  <c r="K22" i="1" s="1"/>
  <c r="D23" i="1"/>
  <c r="E23" i="1" s="1"/>
  <c r="J23" i="1" s="1"/>
  <c r="D24" i="1"/>
  <c r="E24" i="1" s="1"/>
  <c r="J24" i="1" s="1"/>
  <c r="D25" i="1"/>
  <c r="E25" i="1" s="1"/>
  <c r="J25" i="1" s="1"/>
  <c r="D26" i="1"/>
  <c r="E26" i="1" s="1"/>
  <c r="K26" i="1" s="1"/>
  <c r="D27" i="1"/>
  <c r="E27" i="1" s="1"/>
  <c r="J27" i="1" s="1"/>
  <c r="D28" i="1"/>
  <c r="E28" i="1" s="1"/>
  <c r="J28" i="1" s="1"/>
  <c r="D29" i="1"/>
  <c r="E29" i="1" s="1"/>
  <c r="J29" i="1" s="1"/>
  <c r="D30" i="1"/>
  <c r="E30" i="1" s="1"/>
  <c r="K30" i="1" s="1"/>
  <c r="D31" i="1"/>
  <c r="E31" i="1" s="1"/>
  <c r="J31" i="1" s="1"/>
  <c r="D32" i="1"/>
  <c r="E32" i="1" s="1"/>
  <c r="J32" i="1" s="1"/>
  <c r="D33" i="1"/>
  <c r="E33" i="1" s="1"/>
  <c r="J33" i="1" s="1"/>
  <c r="D34" i="1"/>
  <c r="E34" i="1" s="1"/>
  <c r="K34" i="1" s="1"/>
  <c r="D35" i="1"/>
  <c r="E35" i="1" s="1"/>
  <c r="J35" i="1" s="1"/>
  <c r="D36" i="1"/>
  <c r="E36" i="1" s="1"/>
  <c r="J36" i="1" s="1"/>
  <c r="D37" i="1"/>
  <c r="E37" i="1" s="1"/>
  <c r="J37" i="1" s="1"/>
  <c r="D38" i="1"/>
  <c r="E38" i="1" s="1"/>
  <c r="K38" i="1" s="1"/>
  <c r="D39" i="1"/>
  <c r="E39" i="1" s="1"/>
  <c r="J39" i="1" s="1"/>
  <c r="D40" i="1"/>
  <c r="E40" i="1" s="1"/>
  <c r="J40" i="1" s="1"/>
  <c r="D41" i="1"/>
  <c r="E41" i="1" s="1"/>
  <c r="J41" i="1" s="1"/>
  <c r="D42" i="1"/>
  <c r="E42" i="1" s="1"/>
  <c r="K42" i="1" s="1"/>
  <c r="D43" i="1"/>
  <c r="E43" i="1" s="1"/>
  <c r="J43" i="1" s="1"/>
  <c r="D44" i="1"/>
  <c r="E44" i="1" s="1"/>
  <c r="J44" i="1" s="1"/>
  <c r="D45" i="1"/>
  <c r="E45" i="1" s="1"/>
  <c r="J45" i="1" s="1"/>
  <c r="D46" i="1"/>
  <c r="E46" i="1" s="1"/>
  <c r="K46" i="1" s="1"/>
  <c r="D47" i="1"/>
  <c r="E47" i="1" s="1"/>
  <c r="J47" i="1" s="1"/>
  <c r="D48" i="1"/>
  <c r="E48" i="1" s="1"/>
  <c r="J48" i="1" s="1"/>
  <c r="D49" i="1"/>
  <c r="E49" i="1" s="1"/>
  <c r="J49" i="1" s="1"/>
  <c r="D50" i="1"/>
  <c r="E50" i="1" s="1"/>
  <c r="K50" i="1" s="1"/>
  <c r="D51" i="1"/>
  <c r="E51" i="1" s="1"/>
  <c r="J51" i="1" s="1"/>
  <c r="D52" i="1"/>
  <c r="E52" i="1" s="1"/>
  <c r="J52" i="1" s="1"/>
  <c r="D53" i="1"/>
  <c r="E53" i="1" s="1"/>
  <c r="J53" i="1" s="1"/>
  <c r="D54" i="1"/>
  <c r="E54" i="1" s="1"/>
  <c r="K54" i="1" s="1"/>
  <c r="D55" i="1"/>
  <c r="E55" i="1" s="1"/>
  <c r="J55" i="1" s="1"/>
  <c r="D56" i="1"/>
  <c r="E56" i="1" s="1"/>
  <c r="J56" i="1" s="1"/>
  <c r="D57" i="1"/>
  <c r="E57" i="1" s="1"/>
  <c r="J57" i="1" s="1"/>
  <c r="D58" i="1"/>
  <c r="E58" i="1" s="1"/>
  <c r="K58" i="1" s="1"/>
  <c r="D59" i="1"/>
  <c r="E59" i="1" s="1"/>
  <c r="J59" i="1" s="1"/>
  <c r="D60" i="1"/>
  <c r="E60" i="1" s="1"/>
  <c r="J60" i="1" s="1"/>
  <c r="D61" i="1"/>
  <c r="E61" i="1" s="1"/>
  <c r="J61" i="1" s="1"/>
  <c r="D62" i="1"/>
  <c r="E62" i="1" s="1"/>
  <c r="K62" i="1" s="1"/>
  <c r="D63" i="1"/>
  <c r="E63" i="1" s="1"/>
  <c r="J63" i="1" s="1"/>
  <c r="D64" i="1"/>
  <c r="E64" i="1" s="1"/>
  <c r="J64" i="1" s="1"/>
  <c r="D65" i="1"/>
  <c r="E65" i="1" s="1"/>
  <c r="J65" i="1" s="1"/>
  <c r="D66" i="1"/>
  <c r="E66" i="1" s="1"/>
  <c r="K66" i="1" s="1"/>
  <c r="D67" i="1"/>
  <c r="E67" i="1" s="1"/>
  <c r="J67" i="1" s="1"/>
  <c r="D68" i="1"/>
  <c r="E68" i="1" s="1"/>
  <c r="J68" i="1" s="1"/>
  <c r="D69" i="1"/>
  <c r="E69" i="1" s="1"/>
  <c r="J69" i="1" s="1"/>
  <c r="D70" i="1"/>
  <c r="E70" i="1" s="1"/>
  <c r="K70" i="1" s="1"/>
  <c r="D71" i="1"/>
  <c r="E71" i="1" s="1"/>
  <c r="J71" i="1" s="1"/>
  <c r="D72" i="1"/>
  <c r="E72" i="1" s="1"/>
  <c r="J72" i="1" s="1"/>
  <c r="D73" i="1"/>
  <c r="E73" i="1" s="1"/>
  <c r="J73" i="1" s="1"/>
  <c r="D74" i="1"/>
  <c r="E74" i="1" s="1"/>
  <c r="K74" i="1" s="1"/>
  <c r="D75" i="1"/>
  <c r="E75" i="1" s="1"/>
  <c r="J75" i="1" s="1"/>
  <c r="D76" i="1"/>
  <c r="E76" i="1" s="1"/>
  <c r="J76" i="1" s="1"/>
  <c r="D77" i="1"/>
  <c r="E77" i="1" s="1"/>
  <c r="J77" i="1" s="1"/>
  <c r="D78" i="1"/>
  <c r="E78" i="1" s="1"/>
  <c r="K78" i="1" s="1"/>
  <c r="D79" i="1"/>
  <c r="E79" i="1" s="1"/>
  <c r="J79" i="1" s="1"/>
  <c r="D80" i="1"/>
  <c r="E80" i="1" s="1"/>
  <c r="J80" i="1" s="1"/>
  <c r="D81" i="1"/>
  <c r="E81" i="1" s="1"/>
  <c r="J81" i="1" s="1"/>
  <c r="D82" i="1"/>
  <c r="E82" i="1" s="1"/>
  <c r="K82" i="1" s="1"/>
  <c r="D83" i="1"/>
  <c r="E83" i="1" s="1"/>
  <c r="J83" i="1" s="1"/>
  <c r="D84" i="1"/>
  <c r="E84" i="1" s="1"/>
  <c r="J84" i="1" s="1"/>
  <c r="D85" i="1"/>
  <c r="E85" i="1" s="1"/>
  <c r="J85" i="1" s="1"/>
  <c r="D86" i="1"/>
  <c r="E86" i="1" s="1"/>
  <c r="K86" i="1" s="1"/>
  <c r="D87" i="1"/>
  <c r="E87" i="1" s="1"/>
  <c r="J87" i="1" s="1"/>
  <c r="D88" i="1"/>
  <c r="E88" i="1" s="1"/>
  <c r="J88" i="1" s="1"/>
  <c r="D2" i="1"/>
  <c r="E2" i="1" s="1"/>
  <c r="J2" i="1" s="1"/>
  <c r="J86" i="1" l="1"/>
  <c r="J70" i="1"/>
  <c r="J54" i="1"/>
  <c r="J38" i="1"/>
  <c r="J22" i="1"/>
  <c r="J6" i="1"/>
  <c r="K85" i="1"/>
  <c r="K81" i="1"/>
  <c r="K77" i="1"/>
  <c r="K73" i="1"/>
  <c r="K69" i="1"/>
  <c r="K65" i="1"/>
  <c r="K61" i="1"/>
  <c r="K57" i="1"/>
  <c r="K53" i="1"/>
  <c r="K49" i="1"/>
  <c r="K45" i="1"/>
  <c r="K41" i="1"/>
  <c r="K37" i="1"/>
  <c r="K33" i="1"/>
  <c r="K29" i="1"/>
  <c r="K25" i="1"/>
  <c r="K21" i="1"/>
  <c r="K17" i="1"/>
  <c r="K13" i="1"/>
  <c r="K9" i="1"/>
  <c r="K5" i="1"/>
  <c r="J82" i="1"/>
  <c r="J66" i="1"/>
  <c r="J50" i="1"/>
  <c r="J34" i="1"/>
  <c r="J18" i="1"/>
  <c r="K88" i="1"/>
  <c r="K84" i="1"/>
  <c r="K80" i="1"/>
  <c r="K76" i="1"/>
  <c r="K72" i="1"/>
  <c r="K68" i="1"/>
  <c r="K64" i="1"/>
  <c r="K60" i="1"/>
  <c r="K56" i="1"/>
  <c r="K52" i="1"/>
  <c r="K48" i="1"/>
  <c r="K44" i="1"/>
  <c r="K40" i="1"/>
  <c r="K36" i="1"/>
  <c r="K32" i="1"/>
  <c r="K28" i="1"/>
  <c r="K24" i="1"/>
  <c r="K20" i="1"/>
  <c r="K16" i="1"/>
  <c r="K12" i="1"/>
  <c r="K8" i="1"/>
  <c r="K4" i="1"/>
  <c r="J78" i="1"/>
  <c r="J62" i="1"/>
  <c r="J46" i="1"/>
  <c r="J30" i="1"/>
  <c r="J14" i="1"/>
  <c r="K87" i="1"/>
  <c r="K83" i="1"/>
  <c r="K79" i="1"/>
  <c r="K75" i="1"/>
  <c r="K71" i="1"/>
  <c r="K67" i="1"/>
  <c r="K63" i="1"/>
  <c r="K59" i="1"/>
  <c r="K55" i="1"/>
  <c r="K51" i="1"/>
  <c r="K47" i="1"/>
  <c r="K43" i="1"/>
  <c r="K39" i="1"/>
  <c r="K35" i="1"/>
  <c r="K31" i="1"/>
  <c r="K27" i="1"/>
  <c r="K23" i="1"/>
  <c r="K19" i="1"/>
  <c r="K15" i="1"/>
  <c r="K11" i="1"/>
  <c r="K7" i="1"/>
  <c r="K3" i="1"/>
  <c r="J74" i="1"/>
  <c r="J58" i="1"/>
  <c r="J42" i="1"/>
  <c r="J26" i="1"/>
  <c r="J10" i="1"/>
  <c r="K2" i="1"/>
  <c r="D3" i="2" l="1"/>
  <c r="E3" i="2"/>
  <c r="D4" i="2"/>
  <c r="E4" i="2"/>
  <c r="E5" i="2" s="1"/>
</calcChain>
</file>

<file path=xl/sharedStrings.xml><?xml version="1.0" encoding="utf-8"?>
<sst xmlns="http://schemas.openxmlformats.org/spreadsheetml/2006/main" count="484" uniqueCount="146">
  <si>
    <t>Year</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</si>
  <si>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</si>
  <si>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</si>
  <si>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</si>
  <si>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</si>
  <si>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</si>
  <si>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</si>
  <si>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</si>
  <si>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</si>
  <si>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</si>
  <si>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</si>
  <si>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</si>
  <si>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</si>
  <si>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</si>
  <si>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</si>
  <si>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</si>
  <si>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</si>
  <si>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</si>
  <si>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</si>
  <si>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</si>
  <si>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</si>
  <si>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</si>
  <si>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</si>
  <si>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Quarter</t>
  </si>
  <si>
    <t>Q1: April - June</t>
  </si>
  <si>
    <t>Q2: July - Sept</t>
  </si>
  <si>
    <t>Q3: Oct - Dec</t>
  </si>
  <si>
    <t>Q4: Jan - Mar</t>
  </si>
  <si>
    <t>Q2: July - Sep</t>
  </si>
  <si>
    <t>Q3: Oct- Dec</t>
  </si>
  <si>
    <t>Q2: July -September</t>
  </si>
  <si>
    <t xml:space="preserve">Quarter Code </t>
  </si>
  <si>
    <t>Quarter &amp; Year</t>
  </si>
  <si>
    <t>Total attendances</t>
  </si>
  <si>
    <t>Total Attendances &lt; 4 hours</t>
  </si>
  <si>
    <t>Total Attendances &gt; 4 hours</t>
  </si>
  <si>
    <t>Percentage in 4 hours or less (all)</t>
  </si>
  <si>
    <t>Row Labels</t>
  </si>
  <si>
    <t>Grand Total</t>
  </si>
  <si>
    <t>Average of Percentage in 4 hours or less (all)</t>
  </si>
  <si>
    <t>Sum of Total attendances</t>
  </si>
  <si>
    <t>Years</t>
  </si>
  <si>
    <t>year2</t>
  </si>
  <si>
    <t>Sortkey</t>
  </si>
  <si>
    <t>Latest Performance</t>
  </si>
  <si>
    <t>Period</t>
  </si>
  <si>
    <t>Performance</t>
  </si>
  <si>
    <t>Q1</t>
  </si>
  <si>
    <t>Q1 2004-05</t>
  </si>
  <si>
    <t>Q1 2005-06</t>
  </si>
  <si>
    <t>Q1 2006-07</t>
  </si>
  <si>
    <t>Q1 2007-08</t>
  </si>
  <si>
    <t>Q1 2008-09</t>
  </si>
  <si>
    <t>Q1 2009-10</t>
  </si>
  <si>
    <t>Q1 2010-11</t>
  </si>
  <si>
    <t>Q1 2011-12</t>
  </si>
  <si>
    <t>Q1 2012-13</t>
  </si>
  <si>
    <t>Q1 2013-14</t>
  </si>
  <si>
    <t>Q1 2014-15</t>
  </si>
  <si>
    <t>Q1 2015-16</t>
  </si>
  <si>
    <t>Q1 2016-17</t>
  </si>
  <si>
    <t>Q1 2017-18</t>
  </si>
  <si>
    <t>Q1 2018-19</t>
  </si>
  <si>
    <t>Q1 2019-20</t>
  </si>
  <si>
    <t>Q1 2020-21</t>
  </si>
  <si>
    <t>Q1 2021-22</t>
  </si>
  <si>
    <t>Q1 2022-23</t>
  </si>
  <si>
    <t>Q1 2023-24</t>
  </si>
  <si>
    <t>Q1 2024-25</t>
  </si>
  <si>
    <t>Q1 2025-26</t>
  </si>
  <si>
    <t>Q2 2004-05</t>
  </si>
  <si>
    <t>Q2 2005-06</t>
  </si>
  <si>
    <t>Q2 2006-07</t>
  </si>
  <si>
    <t>Q2 2007-08</t>
  </si>
  <si>
    <t>Q2 2008-09</t>
  </si>
  <si>
    <t>Q2 2009-10</t>
  </si>
  <si>
    <t>Q2 2010-11</t>
  </si>
  <si>
    <t>Q2 2011-12</t>
  </si>
  <si>
    <t>Q2 2012-13</t>
  </si>
  <si>
    <t>Q2 2013-14</t>
  </si>
  <si>
    <t>Q2 2014-15</t>
  </si>
  <si>
    <t>Q2 2015-16</t>
  </si>
  <si>
    <t>Q2 2016-17</t>
  </si>
  <si>
    <t>Q2 2017-18</t>
  </si>
  <si>
    <t>Q2 2018-19</t>
  </si>
  <si>
    <t>Q2 2019-20</t>
  </si>
  <si>
    <t>Q2 2020-21</t>
  </si>
  <si>
    <t>Q2 2021-22</t>
  </si>
  <si>
    <t>Q2 2022-23</t>
  </si>
  <si>
    <t>Q2 2023-24</t>
  </si>
  <si>
    <t>Q2 2024-25</t>
  </si>
  <si>
    <t>Q2 2025-26</t>
  </si>
  <si>
    <t>Q3 2004-05</t>
  </si>
  <si>
    <t>Q3 2005-06</t>
  </si>
  <si>
    <t>Q3 2006-07</t>
  </si>
  <si>
    <t>Q3 2007-08</t>
  </si>
  <si>
    <t>Q3 2008-09</t>
  </si>
  <si>
    <t>Q3 2009-10</t>
  </si>
  <si>
    <t>Q3 2010-11</t>
  </si>
  <si>
    <t>Q3 2011-12</t>
  </si>
  <si>
    <t>Q3 2012-13</t>
  </si>
  <si>
    <t>Q3 2013-14</t>
  </si>
  <si>
    <t>Q3 2014-15</t>
  </si>
  <si>
    <t>Q3 2015-16</t>
  </si>
  <si>
    <t>Q3 2016-17</t>
  </si>
  <si>
    <t>Q3 2017-18</t>
  </si>
  <si>
    <t>Q3 2018-19</t>
  </si>
  <si>
    <t>Q3 2019-20</t>
  </si>
  <si>
    <t>Q3 2020-21</t>
  </si>
  <si>
    <t>Q3 2021-22</t>
  </si>
  <si>
    <t>Q3 2022-23</t>
  </si>
  <si>
    <t>Q3 2023-24</t>
  </si>
  <si>
    <t>Q3 2024-25</t>
  </si>
  <si>
    <t>Q3 2025-26</t>
  </si>
  <si>
    <t>Q4 2004-05</t>
  </si>
  <si>
    <t>Q4 2005-06</t>
  </si>
  <si>
    <t>Q4 2006-07</t>
  </si>
  <si>
    <t>Q4 2007-08</t>
  </si>
  <si>
    <t>Q4 2008-09</t>
  </si>
  <si>
    <t>Q4 2009-10</t>
  </si>
  <si>
    <t>Q4 2010-11</t>
  </si>
  <si>
    <t>Q4 2011-12</t>
  </si>
  <si>
    <t>Q4 2012-13</t>
  </si>
  <si>
    <t>Q4 2013-14</t>
  </si>
  <si>
    <t>Q4 2014-15</t>
  </si>
  <si>
    <t>Q4 2015-16</t>
  </si>
  <si>
    <t>Q4 2016-17</t>
  </si>
  <si>
    <t>Q4 2017-18</t>
  </si>
  <si>
    <t>Q4 2018-19</t>
  </si>
  <si>
    <t>Q4 2019-20</t>
  </si>
  <si>
    <t>Q4 2020-21</t>
  </si>
  <si>
    <t>Q4 2021-22</t>
  </si>
  <si>
    <t>Q4 2022-23</t>
  </si>
  <si>
    <t>Q4 2023-24</t>
  </si>
  <si>
    <t>Q4 2024-25</t>
  </si>
  <si>
    <t>Sum of Total Attendances &gt; 4 hours</t>
  </si>
  <si>
    <t xml:space="preserve">Previous Performace </t>
  </si>
  <si>
    <t xml:space="preserve">7 .07 Million </t>
  </si>
  <si>
    <t>Patients Waiting &gt; 4 Hours</t>
  </si>
  <si>
    <t>1.7 Million</t>
  </si>
  <si>
    <t>Change from previous Year</t>
  </si>
  <si>
    <t xml:space="preserve">  Total Attendance </t>
  </si>
  <si>
    <t xml:space="preserve">A&amp;E Waiting Time and Attendance Dashboard — England (2004–2026)   (Data Source: NHS England) </t>
  </si>
  <si>
    <t>Target</t>
  </si>
  <si>
    <t>2010</t>
  </si>
  <si>
    <t>Details for Average of Percentage in 4 hours or less (all) - Quarter &amp; Year: Q1 2010-11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</si>
</sst>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2" x14ac:knownFonts="1">
    <font>
      <sz val="11"/>
      <color theme="1"/>
      <name val="Aptos Narrow"/>
      <family val="2"/>
      <scheme val="minor"/>
    </font>
    <font>
      <sz val="11"/>
      <color theme="1"/>
      <name val="Aptos Narrow"/>
      <family val="2"/>
      <scheme val="minor"/>
    </font>
    <font>
      <b/>
      <sz val="10"/>
      <color indexed="8"/>
      <name val="Verdana"/>
      <family val="2"/>
    </font>
    <font>
      <sz val="10"/>
      <name val="Verdana"/>
      <family val="2"/>
    </font>
    <font>
      <sz val="8"/>
      <name val="Aptos Narrow"/>
      <family val="2"/>
      <scheme val="minor"/>
    </font>
    <font>
      <b/>
      <sz val="12"/>
      <color theme="1"/>
      <name val="Aptos Narrow"/>
      <family val="2"/>
      <scheme val="minor"/>
    </font>
    <font>
      <b/>
      <sz val="16"/>
      <color theme="1"/>
      <name val="Aptos Narrow"/>
      <family val="2"/>
      <scheme val="minor"/>
    </font>
    <font>
      <sz val="16"/>
      <color theme="1"/>
      <name val="Aptos Narrow"/>
      <family val="2"/>
      <scheme val="minor"/>
    </font>
    <font>
      <b/>
      <sz val="11"/>
      <color theme="1"/>
      <name val="Aptos Narrow"/>
      <family val="2"/>
      <scheme val="minor"/>
    </font>
    <font>
      <b/>
      <sz val="20"/>
      <color theme="0"/>
      <name val="Aptos Narrow"/>
      <family val="2"/>
      <scheme val="minor"/>
    </font>
    <font>
      <sz val="14"/>
      <color theme="1"/>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6">
    <xf numFmtId="0" fontId="0" fillId="0" borderId="0" xfId="0"/>
    <xf numFmtId="0" fontId="2" fillId="2" borderId="1" xfId="0" applyFont="1" applyFill="1" applyBorder="1" applyAlignment="1">
      <alignment vertical="top"/>
    </xf>
    <xf numFmtId="0" fontId="3" fillId="3" borderId="2" xfId="0" applyFont="1" applyFill="1" applyBorder="1"/>
    <xf numFmtId="0" fontId="3" fillId="3" borderId="3" xfId="0" applyFont="1" applyFill="1" applyBorder="1"/>
    <xf numFmtId="0" fontId="3" fillId="3" borderId="3" xfId="0" applyFont="1" applyFill="1" applyBorder="1" applyAlignment="1">
      <alignment horizontal="center"/>
    </xf>
    <xf numFmtId="0" fontId="3" fillId="4" borderId="3" xfId="0" applyFont="1" applyFill="1" applyBorder="1" applyAlignment="1">
      <alignment horizontal="center"/>
    </xf>
    <xf numFmtId="0" fontId="3" fillId="5" borderId="3" xfId="0" applyFont="1" applyFill="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17" fontId="3" fillId="3" borderId="2" xfId="0" applyNumberFormat="1" applyFont="1" applyFill="1" applyBorder="1"/>
    <xf numFmtId="17" fontId="3" fillId="3" borderId="3" xfId="0" applyNumberFormat="1" applyFont="1" applyFill="1" applyBorder="1"/>
    <xf numFmtId="17" fontId="3" fillId="5" borderId="3" xfId="0" applyNumberFormat="1" applyFont="1" applyFill="1" applyBorder="1"/>
    <xf numFmtId="17" fontId="3" fillId="5" borderId="5" xfId="0" applyNumberFormat="1" applyFont="1" applyFill="1" applyBorder="1"/>
    <xf numFmtId="17" fontId="3" fillId="5" borderId="4" xfId="0" applyNumberFormat="1" applyFont="1" applyFill="1" applyBorder="1"/>
    <xf numFmtId="17" fontId="3" fillId="0" borderId="4" xfId="0" applyNumberFormat="1" applyFont="1" applyBorder="1"/>
    <xf numFmtId="17" fontId="3" fillId="0" borderId="3" xfId="0" applyNumberFormat="1" applyFont="1" applyBorder="1"/>
    <xf numFmtId="17" fontId="3" fillId="0" borderId="6" xfId="0" applyNumberFormat="1" applyFont="1" applyBorder="1"/>
    <xf numFmtId="17" fontId="3" fillId="0" borderId="7" xfId="0" applyNumberFormat="1" applyFont="1" applyBorder="1"/>
    <xf numFmtId="0" fontId="2" fillId="2" borderId="1" xfId="0" applyFont="1" applyFill="1" applyBorder="1" applyAlignment="1">
      <alignment vertical="top" wrapText="1"/>
    </xf>
    <xf numFmtId="0" fontId="0" fillId="0" borderId="0" xfId="0" pivotButton="1"/>
    <xf numFmtId="0" fontId="0" fillId="0" borderId="0" xfId="0" applyAlignment="1">
      <alignment horizontal="left"/>
    </xf>
    <xf numFmtId="0" fontId="0" fillId="0" borderId="1" xfId="0" applyBorder="1"/>
    <xf numFmtId="3" fontId="3" fillId="3" borderId="1" xfId="0" applyNumberFormat="1" applyFont="1" applyFill="1" applyBorder="1"/>
    <xf numFmtId="3" fontId="3" fillId="3" borderId="1" xfId="0" applyNumberFormat="1" applyFont="1" applyFill="1" applyBorder="1" applyAlignment="1">
      <alignment horizontal="right"/>
    </xf>
    <xf numFmtId="164" fontId="3" fillId="3" borderId="1" xfId="2" applyNumberFormat="1" applyFont="1" applyFill="1" applyBorder="1" applyAlignment="1">
      <alignment horizontal="right"/>
    </xf>
    <xf numFmtId="3" fontId="3" fillId="4" borderId="1" xfId="0" applyNumberFormat="1" applyFont="1" applyFill="1" applyBorder="1"/>
    <xf numFmtId="164" fontId="3" fillId="4" borderId="1" xfId="2" applyNumberFormat="1" applyFont="1" applyFill="1" applyBorder="1"/>
    <xf numFmtId="3" fontId="3" fillId="3" borderId="1" xfId="1" applyNumberFormat="1" applyFont="1" applyFill="1" applyBorder="1" applyAlignment="1">
      <alignment horizontal="right"/>
    </xf>
    <xf numFmtId="3" fontId="3" fillId="4" borderId="1" xfId="1" applyNumberFormat="1" applyFont="1" applyFill="1" applyBorder="1" applyAlignment="1">
      <alignment horizontal="right"/>
    </xf>
    <xf numFmtId="3" fontId="3" fillId="0" borderId="1" xfId="0" applyNumberFormat="1" applyFont="1" applyBorder="1"/>
    <xf numFmtId="164" fontId="3" fillId="0" borderId="1" xfId="2" applyNumberFormat="1" applyFont="1" applyFill="1" applyBorder="1"/>
    <xf numFmtId="164" fontId="0" fillId="0" borderId="0" xfId="0" applyNumberFormat="1"/>
    <xf numFmtId="3" fontId="0" fillId="0" borderId="0" xfId="0" applyNumberFormat="1"/>
    <xf numFmtId="2" fontId="2" fillId="2" borderId="1" xfId="0" applyNumberFormat="1" applyFont="1" applyFill="1" applyBorder="1" applyAlignment="1">
      <alignment vertical="top"/>
    </xf>
    <xf numFmtId="2" fontId="0" fillId="0" borderId="0" xfId="0" applyNumberFormat="1"/>
    <xf numFmtId="0" fontId="2" fillId="2" borderId="5" xfId="0" applyFont="1" applyFill="1" applyBorder="1" applyAlignment="1">
      <alignment vertical="top"/>
    </xf>
    <xf numFmtId="3" fontId="3" fillId="0" borderId="8" xfId="0" applyNumberFormat="1" applyFont="1" applyBorder="1"/>
    <xf numFmtId="3" fontId="3" fillId="0" borderId="9" xfId="0" applyNumberFormat="1" applyFont="1" applyBorder="1"/>
    <xf numFmtId="0" fontId="0" fillId="5" borderId="0" xfId="0" applyFill="1"/>
    <xf numFmtId="0" fontId="6" fillId="5" borderId="1" xfId="0" applyFont="1" applyFill="1" applyBorder="1"/>
    <xf numFmtId="9" fontId="6" fillId="5" borderId="1" xfId="2" applyFont="1" applyFill="1" applyBorder="1"/>
    <xf numFmtId="9" fontId="6" fillId="5" borderId="1" xfId="0" applyNumberFormat="1" applyFont="1" applyFill="1" applyBorder="1"/>
    <xf numFmtId="10" fontId="5" fillId="5" borderId="0" xfId="0" applyNumberFormat="1" applyFont="1" applyFill="1"/>
    <xf numFmtId="9" fontId="5" fillId="5" borderId="0" xfId="0" applyNumberFormat="1" applyFont="1" applyFill="1"/>
    <xf numFmtId="0" fontId="6" fillId="5" borderId="0" xfId="0" applyFont="1" applyFill="1"/>
    <xf numFmtId="10" fontId="6" fillId="5" borderId="0" xfId="0" applyNumberFormat="1" applyFont="1" applyFill="1"/>
    <xf numFmtId="9" fontId="6" fillId="5" borderId="0" xfId="0" applyNumberFormat="1" applyFont="1" applyFill="1"/>
    <xf numFmtId="0" fontId="7" fillId="5" borderId="0" xfId="0" applyFont="1" applyFill="1"/>
    <xf numFmtId="0" fontId="9" fillId="6" borderId="0" xfId="0" applyFont="1" applyFill="1" applyAlignment="1">
      <alignment horizontal="center" vertical="center"/>
    </xf>
    <xf numFmtId="0" fontId="11" fillId="5" borderId="1" xfId="0" applyFont="1" applyFill="1" applyBorder="1" applyAlignment="1">
      <alignment horizontal="left"/>
    </xf>
    <xf numFmtId="0" fontId="11" fillId="5" borderId="1" xfId="0" applyFont="1" applyFill="1" applyBorder="1" applyAlignment="1">
      <alignment horizontal="center"/>
    </xf>
    <xf numFmtId="0" fontId="10" fillId="5" borderId="11" xfId="0" applyFont="1" applyFill="1" applyBorder="1"/>
    <xf numFmtId="0" fontId="0" fillId="5" borderId="0" xfId="0" applyFill="1" applyBorder="1"/>
    <xf numFmtId="0" fontId="11" fillId="5" borderId="12" xfId="0" applyFont="1" applyFill="1" applyBorder="1" applyAlignment="1">
      <alignment horizontal="center"/>
    </xf>
    <xf numFmtId="0" fontId="11" fillId="5" borderId="10" xfId="0" applyFont="1" applyFill="1" applyBorder="1" applyAlignment="1">
      <alignment horizontal="center"/>
    </xf>
    <xf numFmtId="0" fontId="8" fillId="0" borderId="0" xfId="0" applyFont="1"/>
  </cellXfs>
  <cellStyles count="3">
    <cellStyle name="Comma" xfId="1" builtinId="3"/>
    <cellStyle name="Normal" xfId="0" builtinId="0"/>
    <cellStyle name="Percent" xfId="2" builtinId="5"/>
  </cellStyles>
  <dxfs count="13">
    <dxf>
      <font>
        <b val="0"/>
        <i val="0"/>
        <strike val="0"/>
        <condense val="0"/>
        <extend val="0"/>
        <outline val="0"/>
        <shadow val="0"/>
        <u val="none"/>
        <vertAlign val="baseline"/>
        <sz val="10"/>
        <color auto="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164" formatCode="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Verdana"/>
        <family val="2"/>
        <scheme val="none"/>
      </font>
      <numFmt numFmtId="22" formatCode="mmm\-yy"/>
      <border diagonalUp="0" diagonalDown="0">
        <left style="thin">
          <color indexed="64"/>
        </left>
        <right/>
        <top style="hair">
          <color indexed="64"/>
        </top>
        <bottom/>
        <vertical/>
        <horizontal/>
      </border>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border diagonalUp="0" diagonalDown="0">
        <left style="thin">
          <color indexed="64"/>
        </left>
        <right style="thin">
          <color indexed="64"/>
        </right>
        <top style="hair">
          <color indexed="64"/>
        </top>
        <bottom/>
        <vertical/>
        <horizontal/>
      </border>
    </dxf>
    <dxf>
      <numFmt numFmtId="2" formatCode="0.00"/>
    </dxf>
    <dxf>
      <font>
        <b val="0"/>
        <i val="0"/>
        <strike val="0"/>
        <condense val="0"/>
        <extend val="0"/>
        <outline val="0"/>
        <shadow val="0"/>
        <u val="none"/>
        <vertAlign val="baseline"/>
        <sz val="10"/>
        <color auto="1"/>
        <name val="Verdana"/>
        <family val="2"/>
        <scheme val="none"/>
      </font>
    </dxf>
    <dxf>
      <font>
        <b/>
        <i val="0"/>
        <strike val="0"/>
        <condense val="0"/>
        <extend val="0"/>
        <outline val="0"/>
        <shadow val="0"/>
        <u val="none"/>
        <vertAlign val="baseline"/>
        <sz val="10"/>
        <color indexed="8"/>
        <name val="Verdana"/>
        <family val="2"/>
        <scheme val="none"/>
      </font>
      <fill>
        <patternFill patternType="solid">
          <fgColor indexed="64"/>
          <bgColor theme="3" tint="0.59999389629810485"/>
        </patternFill>
      </fill>
      <alignment horizontal="general"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[nhs.xlsx]Sheet3!PivotTable2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Total A&amp;E Attendances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12700">
              <a:solidFill>
                <a:schemeClr val="lt2"/>
              </a:solidFill>
              <a:round/>
            </a:ln>
            <a:effectLst>
              <a:outerShdw blurRad="39000" dist="25400" dir="5400000" rotWithShape="0">
                <a:scrgbClr r="0" g="0" b="0">
                  <a:shade val="33000"/>
                  <a:alpha val="83000"/>
                </a:sc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Ref>
              <c:f>Sheet3!$A$4:$A$91</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Sheet3!$B$4:$B$91</c:f>
              <c:numCache>
                <c:formatCode>#,##0</c:formatCode>
                <c:ptCount val="87"/>
                <c:pt idx="0">
                  <c:v>4502578</c:v>
                </c:pt>
                <c:pt idx="1">
                  <c:v>4859578</c:v>
                </c:pt>
                <c:pt idx="2">
                  <c:v>4891724</c:v>
                </c:pt>
                <c:pt idx="3">
                  <c:v>4924326</c:v>
                </c:pt>
                <c:pt idx="4">
                  <c:v>4987454</c:v>
                </c:pt>
                <c:pt idx="5">
                  <c:v>5291643</c:v>
                </c:pt>
                <c:pt idx="6">
                  <c:v>5523833</c:v>
                </c:pt>
                <c:pt idx="7">
                  <c:v>5501737</c:v>
                </c:pt>
                <c:pt idx="8">
                  <c:v>5587707</c:v>
                </c:pt>
                <c:pt idx="9">
                  <c:v>5554127</c:v>
                </c:pt>
                <c:pt idx="10">
                  <c:v>5797900</c:v>
                </c:pt>
                <c:pt idx="11">
                  <c:v>5712178</c:v>
                </c:pt>
                <c:pt idx="12">
                  <c:v>5896923</c:v>
                </c:pt>
                <c:pt idx="13">
                  <c:v>6010607</c:v>
                </c:pt>
                <c:pt idx="14">
                  <c:v>6242769</c:v>
                </c:pt>
                <c:pt idx="15">
                  <c:v>6392158</c:v>
                </c:pt>
                <c:pt idx="16">
                  <c:v>3589014</c:v>
                </c:pt>
                <c:pt idx="17">
                  <c:v>6098906</c:v>
                </c:pt>
                <c:pt idx="18">
                  <c:v>6453540</c:v>
                </c:pt>
                <c:pt idx="19">
                  <c:v>6505685</c:v>
                </c:pt>
                <c:pt idx="20">
                  <c:v>6951025</c:v>
                </c:pt>
                <c:pt idx="21">
                  <c:v>7046531</c:v>
                </c:pt>
                <c:pt idx="22">
                  <c:v>4556695</c:v>
                </c:pt>
                <c:pt idx="23">
                  <c:v>4744255</c:v>
                </c:pt>
                <c:pt idx="24">
                  <c:v>4892182</c:v>
                </c:pt>
                <c:pt idx="25">
                  <c:v>4847670</c:v>
                </c:pt>
                <c:pt idx="26">
                  <c:v>4930216</c:v>
                </c:pt>
                <c:pt idx="27">
                  <c:v>5180582</c:v>
                </c:pt>
                <c:pt idx="28">
                  <c:v>5375808</c:v>
                </c:pt>
                <c:pt idx="29">
                  <c:v>5344832</c:v>
                </c:pt>
                <c:pt idx="30">
                  <c:v>5493644</c:v>
                </c:pt>
                <c:pt idx="31">
                  <c:v>5525151</c:v>
                </c:pt>
                <c:pt idx="32">
                  <c:v>5604239</c:v>
                </c:pt>
                <c:pt idx="33">
                  <c:v>5678013</c:v>
                </c:pt>
                <c:pt idx="34">
                  <c:v>5964399</c:v>
                </c:pt>
                <c:pt idx="35">
                  <c:v>5924568</c:v>
                </c:pt>
                <c:pt idx="36">
                  <c:v>6183445</c:v>
                </c:pt>
                <c:pt idx="37">
                  <c:v>6513830</c:v>
                </c:pt>
                <c:pt idx="38">
                  <c:v>5001169</c:v>
                </c:pt>
                <c:pt idx="39">
                  <c:v>6323299</c:v>
                </c:pt>
                <c:pt idx="40">
                  <c:v>6185823</c:v>
                </c:pt>
                <c:pt idx="41">
                  <c:v>6479694</c:v>
                </c:pt>
                <c:pt idx="42">
                  <c:v>6699840</c:v>
                </c:pt>
                <c:pt idx="43">
                  <c:v>6986025</c:v>
                </c:pt>
                <c:pt idx="44">
                  <c:v>4374927</c:v>
                </c:pt>
                <c:pt idx="45">
                  <c:v>4605971</c:v>
                </c:pt>
                <c:pt idx="46">
                  <c:v>4559139</c:v>
                </c:pt>
                <c:pt idx="47">
                  <c:v>4698115</c:v>
                </c:pt>
                <c:pt idx="48">
                  <c:v>4865130</c:v>
                </c:pt>
                <c:pt idx="49">
                  <c:v>5126374</c:v>
                </c:pt>
                <c:pt idx="50">
                  <c:v>5250720</c:v>
                </c:pt>
                <c:pt idx="51">
                  <c:v>5253575</c:v>
                </c:pt>
                <c:pt idx="52">
                  <c:v>5351447</c:v>
                </c:pt>
                <c:pt idx="53">
                  <c:v>5294269</c:v>
                </c:pt>
                <c:pt idx="54">
                  <c:v>5573821</c:v>
                </c:pt>
                <c:pt idx="55">
                  <c:v>5664995</c:v>
                </c:pt>
                <c:pt idx="56">
                  <c:v>5854254</c:v>
                </c:pt>
                <c:pt idx="57">
                  <c:v>6025062</c:v>
                </c:pt>
                <c:pt idx="58">
                  <c:v>6164857</c:v>
                </c:pt>
                <c:pt idx="59">
                  <c:v>6494927</c:v>
                </c:pt>
                <c:pt idx="60">
                  <c:v>4559197</c:v>
                </c:pt>
                <c:pt idx="61">
                  <c:v>6077399</c:v>
                </c:pt>
                <c:pt idx="62">
                  <c:v>6660911</c:v>
                </c:pt>
                <c:pt idx="63">
                  <c:v>6576822</c:v>
                </c:pt>
                <c:pt idx="64">
                  <c:v>7021468</c:v>
                </c:pt>
                <c:pt idx="65">
                  <c:v>7070576</c:v>
                </c:pt>
                <c:pt idx="66">
                  <c:v>4402980</c:v>
                </c:pt>
                <c:pt idx="67">
                  <c:v>4549360</c:v>
                </c:pt>
                <c:pt idx="68">
                  <c:v>4579230</c:v>
                </c:pt>
                <c:pt idx="69">
                  <c:v>4606720</c:v>
                </c:pt>
                <c:pt idx="70">
                  <c:v>4805544</c:v>
                </c:pt>
                <c:pt idx="71">
                  <c:v>4913309</c:v>
                </c:pt>
                <c:pt idx="72">
                  <c:v>5230624</c:v>
                </c:pt>
                <c:pt idx="73">
                  <c:v>5381258</c:v>
                </c:pt>
                <c:pt idx="74">
                  <c:v>5305839</c:v>
                </c:pt>
                <c:pt idx="75">
                  <c:v>5405110</c:v>
                </c:pt>
                <c:pt idx="76">
                  <c:v>5378821</c:v>
                </c:pt>
                <c:pt idx="77">
                  <c:v>5865249.42857143</c:v>
                </c:pt>
                <c:pt idx="78">
                  <c:v>5646725</c:v>
                </c:pt>
                <c:pt idx="79">
                  <c:v>5869883</c:v>
                </c:pt>
                <c:pt idx="80">
                  <c:v>6235911</c:v>
                </c:pt>
                <c:pt idx="81">
                  <c:v>5616201</c:v>
                </c:pt>
                <c:pt idx="82">
                  <c:v>4280179</c:v>
                </c:pt>
                <c:pt idx="83">
                  <c:v>5875363</c:v>
                </c:pt>
                <c:pt idx="84">
                  <c:v>6048568</c:v>
                </c:pt>
                <c:pt idx="85">
                  <c:v>6758868</c:v>
                </c:pt>
                <c:pt idx="86">
                  <c:v>6695265</c:v>
                </c:pt>
              </c:numCache>
            </c:numRef>
          </c:val>
          <c:extLst>
            <c:ext xmlns:c16="http://schemas.microsoft.com/office/drawing/2014/chart" uri="{C3380CC4-5D6E-409C-BE32-E72D297353CC}">
              <c16:uniqueId val="{00000000-DB8C-49C8-9588-19929FF9D8EB}"/>
            </c:ext>
          </c:extLst>
        </c:ser>
        <c:dLbls>
          <c:dLblPos val="inEnd"/>
          <c:showLegendKey val="0"/>
          <c:showVal val="0"/>
          <c:showCatName val="0"/>
          <c:showSerName val="0"/>
          <c:showPercent val="0"/>
          <c:showBubbleSize val="0"/>
        </c:dLbls>
        <c:gapWidth val="100"/>
        <c:overlap val="-24"/>
        <c:axId val="778219008"/>
        <c:axId val="778225248"/>
      </c:barChart>
      <c:catAx>
        <c:axId val="7782190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8225248"/>
        <c:crosses val="autoZero"/>
        <c:auto val="1"/>
        <c:lblAlgn val="ctr"/>
        <c:lblOffset val="100"/>
        <c:noMultiLvlLbl val="0"/>
      </c:catAx>
      <c:valAx>
        <c:axId val="7782252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821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[nhs.xlsx]Sheet5!PivotTable4</c:name>
    <c:fmtId val="6"/>
  </c:pivotSource>
  <c:chart>
    <c:title>
      <c:tx>
        <c:rich>
          <a:bodyPr rot="0" spcFirstLastPara="1" vertOverflow="ellipsis" vert="horz" wrap="square" anchor="ctr" anchorCtr="1"/>
          <a:lstStyle/>
          <a:p>
            <a:pPr algn="ctr" rtl="0">
              <a:defRPr lang="en-US" sz="1600" b="1" i="0" u="none" strike="noStrike" kern="1200" spc="0" baseline="0">
                <a:solidFill>
                  <a:srgbClr val="0E2841"/>
                </a:solidFill>
                <a:latin typeface="+mn-lt"/>
                <a:ea typeface="+mn-ea"/>
                <a:cs typeface="+mn-cs"/>
              </a:defRPr>
            </a:pPr>
            <a:r>
              <a:rPr lang="en-US" sz="1600" b="1" i="0" u="none" strike="noStrike" kern="1200" baseline="0">
                <a:solidFill>
                  <a:srgbClr val="0E2841"/>
                </a:solidFill>
                <a:latin typeface="+mn-lt"/>
                <a:ea typeface="+mn-ea"/>
                <a:cs typeface="+mn-cs"/>
              </a:rPr>
              <a:t>Percentage of Patients Seen Within 4 Hours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E284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69847706996775E-2"/>
          <c:y val="0.25817567804024499"/>
          <c:w val="0.79418386110227712"/>
          <c:h val="0.55116745406824152"/>
        </c:manualLayout>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Sheet5!$A$2:$A$89</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Sheet5!$B$2:$B$89</c:f>
              <c:numCache>
                <c:formatCode>0.0%</c:formatCode>
                <c:ptCount val="87"/>
                <c:pt idx="0">
                  <c:v>0.94713539665498303</c:v>
                </c:pt>
                <c:pt idx="1">
                  <c:v>0.98247954863570452</c:v>
                </c:pt>
                <c:pt idx="2">
                  <c:v>0.98342567978078899</c:v>
                </c:pt>
                <c:pt idx="3">
                  <c:v>0.98257000044270015</c:v>
                </c:pt>
                <c:pt idx="4">
                  <c:v>0.98332435747778324</c:v>
                </c:pt>
                <c:pt idx="5">
                  <c:v>0.98588472427183771</c:v>
                </c:pt>
                <c:pt idx="6">
                  <c:v>0.98430944599519932</c:v>
                </c:pt>
                <c:pt idx="7">
                  <c:v>0.97049150113864036</c:v>
                </c:pt>
                <c:pt idx="8">
                  <c:v>0.96639909716096428</c:v>
                </c:pt>
                <c:pt idx="9">
                  <c:v>0.95655752920305925</c:v>
                </c:pt>
                <c:pt idx="10">
                  <c:v>0.95091998827161561</c:v>
                </c:pt>
                <c:pt idx="11">
                  <c:v>0.94098783336233571</c:v>
                </c:pt>
                <c:pt idx="12">
                  <c:v>0.90293870209938298</c:v>
                </c:pt>
                <c:pt idx="13">
                  <c:v>0.90304689692738194</c:v>
                </c:pt>
                <c:pt idx="14">
                  <c:v>0.89937413990490434</c:v>
                </c:pt>
                <c:pt idx="15">
                  <c:v>0.86014557649371148</c:v>
                </c:pt>
                <c:pt idx="16">
                  <c:v>0.92436959013384978</c:v>
                </c:pt>
                <c:pt idx="17">
                  <c:v>0.83354975545099763</c:v>
                </c:pt>
                <c:pt idx="18">
                  <c:v>0.72387015927825638</c:v>
                </c:pt>
                <c:pt idx="19">
                  <c:v>0.74218773055749376</c:v>
                </c:pt>
                <c:pt idx="20">
                  <c:v>0.74337223646872219</c:v>
                </c:pt>
                <c:pt idx="21">
                  <c:v>0.75252134702877205</c:v>
                </c:pt>
                <c:pt idx="22">
                  <c:v>0.95895950903011939</c:v>
                </c:pt>
                <c:pt idx="23">
                  <c:v>0.98773021264666427</c:v>
                </c:pt>
                <c:pt idx="24">
                  <c:v>0.9848024869066605</c:v>
                </c:pt>
                <c:pt idx="25">
                  <c:v>0.98364100691672496</c:v>
                </c:pt>
                <c:pt idx="26">
                  <c:v>0.98672654504386825</c:v>
                </c:pt>
                <c:pt idx="27">
                  <c:v>0.98725567899513988</c:v>
                </c:pt>
                <c:pt idx="28">
                  <c:v>0.98013340506208557</c:v>
                </c:pt>
                <c:pt idx="29">
                  <c:v>0.97290036431453786</c:v>
                </c:pt>
                <c:pt idx="30">
                  <c:v>0.96943358543072689</c:v>
                </c:pt>
                <c:pt idx="31">
                  <c:v>0.96275233020780793</c:v>
                </c:pt>
                <c:pt idx="32">
                  <c:v>0.94982101941048558</c:v>
                </c:pt>
                <c:pt idx="33">
                  <c:v>0.94239868770994362</c:v>
                </c:pt>
                <c:pt idx="34">
                  <c:v>0.90627907354957304</c:v>
                </c:pt>
                <c:pt idx="35">
                  <c:v>0.90110418177325335</c:v>
                </c:pt>
                <c:pt idx="36">
                  <c:v>0.89329265482267572</c:v>
                </c:pt>
                <c:pt idx="37">
                  <c:v>0.86019821732884227</c:v>
                </c:pt>
                <c:pt idx="38">
                  <c:v>0.89429309004226742</c:v>
                </c:pt>
                <c:pt idx="39">
                  <c:v>0.76653143471395391</c:v>
                </c:pt>
                <c:pt idx="40">
                  <c:v>0.71267593231124482</c:v>
                </c:pt>
                <c:pt idx="41">
                  <c:v>0.72923968323195509</c:v>
                </c:pt>
                <c:pt idx="42">
                  <c:v>0.75246677532597794</c:v>
                </c:pt>
                <c:pt idx="43">
                  <c:v>0.75786430767138679</c:v>
                </c:pt>
                <c:pt idx="44">
                  <c:v>0.96806072421322686</c:v>
                </c:pt>
                <c:pt idx="45">
                  <c:v>0.98193475382280959</c:v>
                </c:pt>
                <c:pt idx="46">
                  <c:v>0.98228020685484696</c:v>
                </c:pt>
                <c:pt idx="47">
                  <c:v>0.9738703714149185</c:v>
                </c:pt>
                <c:pt idx="48">
                  <c:v>0.97503067749474326</c:v>
                </c:pt>
                <c:pt idx="49">
                  <c:v>0.97839837670837126</c:v>
                </c:pt>
                <c:pt idx="50">
                  <c:v>0.96490709845506906</c:v>
                </c:pt>
                <c:pt idx="51">
                  <c:v>0.96346868560932319</c:v>
                </c:pt>
                <c:pt idx="52">
                  <c:v>0.95665303234807331</c:v>
                </c:pt>
                <c:pt idx="53">
                  <c:v>0.95646386687189489</c:v>
                </c:pt>
                <c:pt idx="54">
                  <c:v>0.92564275027848941</c:v>
                </c:pt>
                <c:pt idx="55">
                  <c:v>0.91533443542315573</c:v>
                </c:pt>
                <c:pt idx="56">
                  <c:v>0.87877738137088002</c:v>
                </c:pt>
                <c:pt idx="57">
                  <c:v>0.8790756012137303</c:v>
                </c:pt>
                <c:pt idx="58">
                  <c:v>0.87693696706995794</c:v>
                </c:pt>
                <c:pt idx="59">
                  <c:v>0.81626620997912891</c:v>
                </c:pt>
                <c:pt idx="60">
                  <c:v>0.82897991158307249</c:v>
                </c:pt>
                <c:pt idx="61">
                  <c:v>0.73821841519109699</c:v>
                </c:pt>
                <c:pt idx="62">
                  <c:v>0.67869866178783478</c:v>
                </c:pt>
                <c:pt idx="63">
                  <c:v>0.69882703226573561</c:v>
                </c:pt>
                <c:pt idx="64">
                  <c:v>0.72131027300843642</c:v>
                </c:pt>
                <c:pt idx="65">
                  <c:v>0.74067699717816482</c:v>
                </c:pt>
                <c:pt idx="66">
                  <c:v>0.97328014208558744</c:v>
                </c:pt>
                <c:pt idx="67">
                  <c:v>0.9749292208134771</c:v>
                </c:pt>
                <c:pt idx="68">
                  <c:v>0.97660742089827324</c:v>
                </c:pt>
                <c:pt idx="69">
                  <c:v>0.97486715059738815</c:v>
                </c:pt>
                <c:pt idx="70">
                  <c:v>0.97735615364254291</c:v>
                </c:pt>
                <c:pt idx="71">
                  <c:v>0.97920688481021645</c:v>
                </c:pt>
                <c:pt idx="72">
                  <c:v>0.96570581253785404</c:v>
                </c:pt>
                <c:pt idx="73">
                  <c:v>0.9580336047816328</c:v>
                </c:pt>
                <c:pt idx="74">
                  <c:v>0.94086345250958425</c:v>
                </c:pt>
                <c:pt idx="75">
                  <c:v>0.95159950491294354</c:v>
                </c:pt>
                <c:pt idx="76">
                  <c:v>0.9180288765883825</c:v>
                </c:pt>
                <c:pt idx="77">
                  <c:v>0.87874326426161486</c:v>
                </c:pt>
                <c:pt idx="78">
                  <c:v>0.87613705289349131</c:v>
                </c:pt>
                <c:pt idx="79">
                  <c:v>0.84983550779461869</c:v>
                </c:pt>
                <c:pt idx="80">
                  <c:v>0.85097061199237767</c:v>
                </c:pt>
                <c:pt idx="81">
                  <c:v>0.82777533216497645</c:v>
                </c:pt>
                <c:pt idx="82">
                  <c:v>0.83144121674452776</c:v>
                </c:pt>
                <c:pt idx="83">
                  <c:v>0.73009428005995758</c:v>
                </c:pt>
                <c:pt idx="84">
                  <c:v>0.71841698796633846</c:v>
                </c:pt>
                <c:pt idx="85">
                  <c:v>0.7196108875036471</c:v>
                </c:pt>
                <c:pt idx="86">
                  <c:v>0.73852565955193705</c:v>
                </c:pt>
              </c:numCache>
            </c:numRef>
          </c:val>
          <c:smooth val="0"/>
          <c:extLst>
            <c:ext xmlns:c16="http://schemas.microsoft.com/office/drawing/2014/chart" uri="{C3380CC4-5D6E-409C-BE32-E72D297353CC}">
              <c16:uniqueId val="{00000000-A7AC-4E5D-AE89-1DD41242ACA5}"/>
            </c:ext>
          </c:extLst>
        </c:ser>
        <c:dLbls>
          <c:showLegendKey val="0"/>
          <c:showVal val="0"/>
          <c:showCatName val="0"/>
          <c:showSerName val="0"/>
          <c:showPercent val="0"/>
          <c:showBubbleSize val="0"/>
        </c:dLbls>
        <c:marker val="1"/>
        <c:smooth val="0"/>
        <c:axId val="919801087"/>
        <c:axId val="919825567"/>
      </c:lineChart>
      <c:catAx>
        <c:axId val="91980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25567"/>
        <c:crosses val="autoZero"/>
        <c:auto val="1"/>
        <c:lblAlgn val="ctr"/>
        <c:lblOffset val="100"/>
        <c:noMultiLvlLbl val="0"/>
      </c:catAx>
      <c:valAx>
        <c:axId val="91982556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Sheet3!$A$4:$A$91</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Sheet3!$B$4:$B$91</c:f>
              <c:numCache>
                <c:formatCode>#,##0</c:formatCode>
                <c:ptCount val="87"/>
                <c:pt idx="0">
                  <c:v>4502578</c:v>
                </c:pt>
                <c:pt idx="1">
                  <c:v>4859578</c:v>
                </c:pt>
                <c:pt idx="2">
                  <c:v>4891724</c:v>
                </c:pt>
                <c:pt idx="3">
                  <c:v>4924326</c:v>
                </c:pt>
                <c:pt idx="4">
                  <c:v>4987454</c:v>
                </c:pt>
                <c:pt idx="5">
                  <c:v>5291643</c:v>
                </c:pt>
                <c:pt idx="6">
                  <c:v>5523833</c:v>
                </c:pt>
                <c:pt idx="7">
                  <c:v>5501737</c:v>
                </c:pt>
                <c:pt idx="8">
                  <c:v>5587707</c:v>
                </c:pt>
                <c:pt idx="9">
                  <c:v>5554127</c:v>
                </c:pt>
                <c:pt idx="10">
                  <c:v>5797900</c:v>
                </c:pt>
                <c:pt idx="11">
                  <c:v>5712178</c:v>
                </c:pt>
                <c:pt idx="12">
                  <c:v>5896923</c:v>
                </c:pt>
                <c:pt idx="13">
                  <c:v>6010607</c:v>
                </c:pt>
                <c:pt idx="14">
                  <c:v>6242769</c:v>
                </c:pt>
                <c:pt idx="15">
                  <c:v>6392158</c:v>
                </c:pt>
                <c:pt idx="16">
                  <c:v>3589014</c:v>
                </c:pt>
                <c:pt idx="17">
                  <c:v>6098906</c:v>
                </c:pt>
                <c:pt idx="18">
                  <c:v>6453540</c:v>
                </c:pt>
                <c:pt idx="19">
                  <c:v>6505685</c:v>
                </c:pt>
                <c:pt idx="20">
                  <c:v>6951025</c:v>
                </c:pt>
                <c:pt idx="21">
                  <c:v>7046531</c:v>
                </c:pt>
                <c:pt idx="22">
                  <c:v>4556695</c:v>
                </c:pt>
                <c:pt idx="23">
                  <c:v>4744255</c:v>
                </c:pt>
                <c:pt idx="24">
                  <c:v>4892182</c:v>
                </c:pt>
                <c:pt idx="25">
                  <c:v>4847670</c:v>
                </c:pt>
                <c:pt idx="26">
                  <c:v>4930216</c:v>
                </c:pt>
                <c:pt idx="27">
                  <c:v>5180582</c:v>
                </c:pt>
                <c:pt idx="28">
                  <c:v>5375808</c:v>
                </c:pt>
                <c:pt idx="29">
                  <c:v>5344832</c:v>
                </c:pt>
                <c:pt idx="30">
                  <c:v>5493644</c:v>
                </c:pt>
                <c:pt idx="31">
                  <c:v>5525151</c:v>
                </c:pt>
                <c:pt idx="32">
                  <c:v>5604239</c:v>
                </c:pt>
                <c:pt idx="33">
                  <c:v>5678013</c:v>
                </c:pt>
                <c:pt idx="34">
                  <c:v>5964399</c:v>
                </c:pt>
                <c:pt idx="35">
                  <c:v>5924568</c:v>
                </c:pt>
                <c:pt idx="36">
                  <c:v>6183445</c:v>
                </c:pt>
                <c:pt idx="37">
                  <c:v>6513830</c:v>
                </c:pt>
                <c:pt idx="38">
                  <c:v>5001169</c:v>
                </c:pt>
                <c:pt idx="39">
                  <c:v>6323299</c:v>
                </c:pt>
                <c:pt idx="40">
                  <c:v>6185823</c:v>
                </c:pt>
                <c:pt idx="41">
                  <c:v>6479694</c:v>
                </c:pt>
                <c:pt idx="42">
                  <c:v>6699840</c:v>
                </c:pt>
                <c:pt idx="43">
                  <c:v>6986025</c:v>
                </c:pt>
                <c:pt idx="44">
                  <c:v>4374927</c:v>
                </c:pt>
                <c:pt idx="45">
                  <c:v>4605971</c:v>
                </c:pt>
                <c:pt idx="46">
                  <c:v>4559139</c:v>
                </c:pt>
                <c:pt idx="47">
                  <c:v>4698115</c:v>
                </c:pt>
                <c:pt idx="48">
                  <c:v>4865130</c:v>
                </c:pt>
                <c:pt idx="49">
                  <c:v>5126374</c:v>
                </c:pt>
                <c:pt idx="50">
                  <c:v>5250720</c:v>
                </c:pt>
                <c:pt idx="51">
                  <c:v>5253575</c:v>
                </c:pt>
                <c:pt idx="52">
                  <c:v>5351447</c:v>
                </c:pt>
                <c:pt idx="53">
                  <c:v>5294269</c:v>
                </c:pt>
                <c:pt idx="54">
                  <c:v>5573821</c:v>
                </c:pt>
                <c:pt idx="55">
                  <c:v>5664995</c:v>
                </c:pt>
                <c:pt idx="56">
                  <c:v>5854254</c:v>
                </c:pt>
                <c:pt idx="57">
                  <c:v>6025062</c:v>
                </c:pt>
                <c:pt idx="58">
                  <c:v>6164857</c:v>
                </c:pt>
                <c:pt idx="59">
                  <c:v>6494927</c:v>
                </c:pt>
                <c:pt idx="60">
                  <c:v>4559197</c:v>
                </c:pt>
                <c:pt idx="61">
                  <c:v>6077399</c:v>
                </c:pt>
                <c:pt idx="62">
                  <c:v>6660911</c:v>
                </c:pt>
                <c:pt idx="63">
                  <c:v>6576822</c:v>
                </c:pt>
                <c:pt idx="64">
                  <c:v>7021468</c:v>
                </c:pt>
                <c:pt idx="65">
                  <c:v>7070576</c:v>
                </c:pt>
                <c:pt idx="66">
                  <c:v>4402980</c:v>
                </c:pt>
                <c:pt idx="67">
                  <c:v>4549360</c:v>
                </c:pt>
                <c:pt idx="68">
                  <c:v>4579230</c:v>
                </c:pt>
                <c:pt idx="69">
                  <c:v>4606720</c:v>
                </c:pt>
                <c:pt idx="70">
                  <c:v>4805544</c:v>
                </c:pt>
                <c:pt idx="71">
                  <c:v>4913309</c:v>
                </c:pt>
                <c:pt idx="72">
                  <c:v>5230624</c:v>
                </c:pt>
                <c:pt idx="73">
                  <c:v>5381258</c:v>
                </c:pt>
                <c:pt idx="74">
                  <c:v>5305839</c:v>
                </c:pt>
                <c:pt idx="75">
                  <c:v>5405110</c:v>
                </c:pt>
                <c:pt idx="76">
                  <c:v>5378821</c:v>
                </c:pt>
                <c:pt idx="77">
                  <c:v>5865249.42857143</c:v>
                </c:pt>
                <c:pt idx="78">
                  <c:v>5646725</c:v>
                </c:pt>
                <c:pt idx="79">
                  <c:v>5869883</c:v>
                </c:pt>
                <c:pt idx="80">
                  <c:v>6235911</c:v>
                </c:pt>
                <c:pt idx="81">
                  <c:v>5616201</c:v>
                </c:pt>
                <c:pt idx="82">
                  <c:v>4280179</c:v>
                </c:pt>
                <c:pt idx="83">
                  <c:v>5875363</c:v>
                </c:pt>
                <c:pt idx="84">
                  <c:v>6048568</c:v>
                </c:pt>
                <c:pt idx="85">
                  <c:v>6758868</c:v>
                </c:pt>
                <c:pt idx="86">
                  <c:v>6695265</c:v>
                </c:pt>
              </c:numCache>
            </c:numRef>
          </c:val>
          <c:extLst>
            <c:ext xmlns:c16="http://schemas.microsoft.com/office/drawing/2014/chart" uri="{C3380CC4-5D6E-409C-BE32-E72D297353CC}">
              <c16:uniqueId val="{00000000-6EFE-42BD-AE2F-0E1FE1498D27}"/>
            </c:ext>
          </c:extLst>
        </c:ser>
        <c:dLbls>
          <c:showLegendKey val="0"/>
          <c:showVal val="0"/>
          <c:showCatName val="0"/>
          <c:showSerName val="0"/>
          <c:showPercent val="0"/>
          <c:showBubbleSize val="0"/>
        </c:dLbls>
        <c:gapWidth val="219"/>
        <c:overlap val="-27"/>
        <c:axId val="778219008"/>
        <c:axId val="778225248"/>
      </c:barChart>
      <c:catAx>
        <c:axId val="77821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25248"/>
        <c:crosses val="autoZero"/>
        <c:auto val="1"/>
        <c:lblAlgn val="ctr"/>
        <c:lblOffset val="100"/>
        <c:noMultiLvlLbl val="0"/>
      </c:catAx>
      <c:valAx>
        <c:axId val="778225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1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[nhs.xlsx]Sheet4!PivotTable3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2825896762904"/>
          <c:y val="0.14249781277340332"/>
          <c:w val="0.42612729658792653"/>
          <c:h val="0.5136231408573928"/>
        </c:manualLayout>
      </c:layout>
      <c:barChart>
        <c:barDir val="col"/>
        <c:grouping val="stacked"/>
        <c:varyColors val="0"/>
        <c:ser>
          <c:idx val="0"/>
          <c:order val="0"/>
          <c:tx>
            <c:strRef>
              <c:f>Sheet4!$B$3</c:f>
              <c:strCache>
                <c:ptCount val="1"/>
                <c:pt idx="0">
                  <c:v>Average of Percentage in 4 hours or less (all)</c:v>
                </c:pt>
              </c:strCache>
            </c:strRef>
          </c:tx>
          <c:spPr>
            <a:solidFill>
              <a:schemeClr val="accent1"/>
            </a:solidFill>
            <a:ln>
              <a:noFill/>
            </a:ln>
            <a:effectLst/>
          </c:spPr>
          <c:invertIfNegative val="0"/>
          <c:cat>
            <c:strRef>
              <c:f>Sheet4!$A$4:$A$91</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Sheet4!$B$4:$B$91</c:f>
              <c:numCache>
                <c:formatCode>0.0%</c:formatCode>
                <c:ptCount val="87"/>
                <c:pt idx="0">
                  <c:v>0.94713539665498303</c:v>
                </c:pt>
                <c:pt idx="1">
                  <c:v>0.98247954863570452</c:v>
                </c:pt>
                <c:pt idx="2">
                  <c:v>0.98342567978078899</c:v>
                </c:pt>
                <c:pt idx="3">
                  <c:v>0.98257000044270015</c:v>
                </c:pt>
                <c:pt idx="4">
                  <c:v>0.98332435747778324</c:v>
                </c:pt>
                <c:pt idx="5">
                  <c:v>0.98588472427183771</c:v>
                </c:pt>
                <c:pt idx="6">
                  <c:v>0.98430944599519932</c:v>
                </c:pt>
                <c:pt idx="7">
                  <c:v>0.97049150113864036</c:v>
                </c:pt>
                <c:pt idx="8">
                  <c:v>0.96639909716096428</c:v>
                </c:pt>
                <c:pt idx="9">
                  <c:v>0.95655752920305925</c:v>
                </c:pt>
                <c:pt idx="10">
                  <c:v>0.95091998827161561</c:v>
                </c:pt>
                <c:pt idx="11">
                  <c:v>0.94098783336233571</c:v>
                </c:pt>
                <c:pt idx="12">
                  <c:v>0.90293870209938298</c:v>
                </c:pt>
                <c:pt idx="13">
                  <c:v>0.90304689692738194</c:v>
                </c:pt>
                <c:pt idx="14">
                  <c:v>0.89937413990490434</c:v>
                </c:pt>
                <c:pt idx="15">
                  <c:v>0.86014557649371148</c:v>
                </c:pt>
                <c:pt idx="16">
                  <c:v>0.92436959013384978</c:v>
                </c:pt>
                <c:pt idx="17">
                  <c:v>0.83354975545099763</c:v>
                </c:pt>
                <c:pt idx="18">
                  <c:v>0.72387015927825638</c:v>
                </c:pt>
                <c:pt idx="19">
                  <c:v>0.74218773055749376</c:v>
                </c:pt>
                <c:pt idx="20">
                  <c:v>0.74337223646872219</c:v>
                </c:pt>
                <c:pt idx="21">
                  <c:v>0.75252134702877205</c:v>
                </c:pt>
                <c:pt idx="22">
                  <c:v>0.95895950903011939</c:v>
                </c:pt>
                <c:pt idx="23">
                  <c:v>0.98773021264666427</c:v>
                </c:pt>
                <c:pt idx="24">
                  <c:v>0.9848024869066605</c:v>
                </c:pt>
                <c:pt idx="25">
                  <c:v>0.98364100691672496</c:v>
                </c:pt>
                <c:pt idx="26">
                  <c:v>0.98672654504386825</c:v>
                </c:pt>
                <c:pt idx="27">
                  <c:v>0.98725567899513988</c:v>
                </c:pt>
                <c:pt idx="28">
                  <c:v>0.98013340506208557</c:v>
                </c:pt>
                <c:pt idx="29">
                  <c:v>0.97290036431453786</c:v>
                </c:pt>
                <c:pt idx="30">
                  <c:v>0.96943358543072689</c:v>
                </c:pt>
                <c:pt idx="31">
                  <c:v>0.96275233020780793</c:v>
                </c:pt>
                <c:pt idx="32">
                  <c:v>0.94982101941048558</c:v>
                </c:pt>
                <c:pt idx="33">
                  <c:v>0.94239868770994362</c:v>
                </c:pt>
                <c:pt idx="34">
                  <c:v>0.90627907354957304</c:v>
                </c:pt>
                <c:pt idx="35">
                  <c:v>0.90110418177325335</c:v>
                </c:pt>
                <c:pt idx="36">
                  <c:v>0.89329265482267572</c:v>
                </c:pt>
                <c:pt idx="37">
                  <c:v>0.86019821732884227</c:v>
                </c:pt>
                <c:pt idx="38">
                  <c:v>0.89429309004226742</c:v>
                </c:pt>
                <c:pt idx="39">
                  <c:v>0.76653143471395391</c:v>
                </c:pt>
                <c:pt idx="40">
                  <c:v>0.71267593231124482</c:v>
                </c:pt>
                <c:pt idx="41">
                  <c:v>0.72923968323195509</c:v>
                </c:pt>
                <c:pt idx="42">
                  <c:v>0.75246677532597794</c:v>
                </c:pt>
                <c:pt idx="43">
                  <c:v>0.75786430767138679</c:v>
                </c:pt>
                <c:pt idx="44">
                  <c:v>0.96806072421322686</c:v>
                </c:pt>
                <c:pt idx="45">
                  <c:v>0.98193475382280959</c:v>
                </c:pt>
                <c:pt idx="46">
                  <c:v>0.98228020685484696</c:v>
                </c:pt>
                <c:pt idx="47">
                  <c:v>0.9738703714149185</c:v>
                </c:pt>
                <c:pt idx="48">
                  <c:v>0.97503067749474326</c:v>
                </c:pt>
                <c:pt idx="49">
                  <c:v>0.97839837670837126</c:v>
                </c:pt>
                <c:pt idx="50">
                  <c:v>0.96490709845506906</c:v>
                </c:pt>
                <c:pt idx="51">
                  <c:v>0.96346868560932319</c:v>
                </c:pt>
                <c:pt idx="52">
                  <c:v>0.95665303234807331</c:v>
                </c:pt>
                <c:pt idx="53">
                  <c:v>0.95646386687189489</c:v>
                </c:pt>
                <c:pt idx="54">
                  <c:v>0.92564275027848941</c:v>
                </c:pt>
                <c:pt idx="55">
                  <c:v>0.91533443542315573</c:v>
                </c:pt>
                <c:pt idx="56">
                  <c:v>0.87877738137088002</c:v>
                </c:pt>
                <c:pt idx="57">
                  <c:v>0.8790756012137303</c:v>
                </c:pt>
                <c:pt idx="58">
                  <c:v>0.87693696706995794</c:v>
                </c:pt>
                <c:pt idx="59">
                  <c:v>0.81626620997912891</c:v>
                </c:pt>
                <c:pt idx="60">
                  <c:v>0.82897991158307249</c:v>
                </c:pt>
                <c:pt idx="61">
                  <c:v>0.73821841519109699</c:v>
                </c:pt>
                <c:pt idx="62">
                  <c:v>0.67869866178783478</c:v>
                </c:pt>
                <c:pt idx="63">
                  <c:v>0.69882703226573561</c:v>
                </c:pt>
                <c:pt idx="64">
                  <c:v>0.72131027300843642</c:v>
                </c:pt>
                <c:pt idx="65">
                  <c:v>0.74067699717816482</c:v>
                </c:pt>
                <c:pt idx="66">
                  <c:v>0.97328014208558744</c:v>
                </c:pt>
                <c:pt idx="67">
                  <c:v>0.9749292208134771</c:v>
                </c:pt>
                <c:pt idx="68">
                  <c:v>0.97660742089827324</c:v>
                </c:pt>
                <c:pt idx="69">
                  <c:v>0.97486715059738815</c:v>
                </c:pt>
                <c:pt idx="70">
                  <c:v>0.97735615364254291</c:v>
                </c:pt>
                <c:pt idx="71">
                  <c:v>0.97920688481021645</c:v>
                </c:pt>
                <c:pt idx="72">
                  <c:v>0.96570581253785404</c:v>
                </c:pt>
                <c:pt idx="73">
                  <c:v>0.9580336047816328</c:v>
                </c:pt>
                <c:pt idx="74">
                  <c:v>0.94086345250958425</c:v>
                </c:pt>
                <c:pt idx="75">
                  <c:v>0.95159950491294354</c:v>
                </c:pt>
                <c:pt idx="76">
                  <c:v>0.9180288765883825</c:v>
                </c:pt>
                <c:pt idx="77">
                  <c:v>0.87874326426161486</c:v>
                </c:pt>
                <c:pt idx="78">
                  <c:v>0.87613705289349131</c:v>
                </c:pt>
                <c:pt idx="79">
                  <c:v>0.84983550779461869</c:v>
                </c:pt>
                <c:pt idx="80">
                  <c:v>0.85097061199237767</c:v>
                </c:pt>
                <c:pt idx="81">
                  <c:v>0.82777533216497645</c:v>
                </c:pt>
                <c:pt idx="82">
                  <c:v>0.83144121674452776</c:v>
                </c:pt>
                <c:pt idx="83">
                  <c:v>0.73009428005995758</c:v>
                </c:pt>
                <c:pt idx="84">
                  <c:v>0.71841698796633846</c:v>
                </c:pt>
                <c:pt idx="85">
                  <c:v>0.7196108875036471</c:v>
                </c:pt>
                <c:pt idx="86">
                  <c:v>0.73852565955193705</c:v>
                </c:pt>
              </c:numCache>
            </c:numRef>
          </c:val>
          <c:extLst>
            <c:ext xmlns:c16="http://schemas.microsoft.com/office/drawing/2014/chart" uri="{C3380CC4-5D6E-409C-BE32-E72D297353CC}">
              <c16:uniqueId val="{00000000-6651-40CE-B19A-399BE0E8CABF}"/>
            </c:ext>
          </c:extLst>
        </c:ser>
        <c:dLbls>
          <c:showLegendKey val="0"/>
          <c:showVal val="0"/>
          <c:showCatName val="0"/>
          <c:showSerName val="0"/>
          <c:showPercent val="0"/>
          <c:showBubbleSize val="0"/>
        </c:dLbls>
        <c:gapWidth val="219"/>
        <c:overlap val="100"/>
        <c:axId val="778226688"/>
        <c:axId val="778221888"/>
      </c:barChart>
      <c:barChart>
        <c:barDir val="col"/>
        <c:grouping val="stacked"/>
        <c:varyColors val="0"/>
        <c:ser>
          <c:idx val="1"/>
          <c:order val="1"/>
          <c:tx>
            <c:strRef>
              <c:f>Sheet4!$C$3</c:f>
              <c:strCache>
                <c:ptCount val="1"/>
                <c:pt idx="0">
                  <c:v>Sum of Total Attendances &gt; 4 hours</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Sheet4!$A$4:$A$91</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Sheet4!$C$4:$C$91</c:f>
              <c:numCache>
                <c:formatCode>#,##0</c:formatCode>
                <c:ptCount val="87"/>
                <c:pt idx="0">
                  <c:v>238027</c:v>
                </c:pt>
                <c:pt idx="1">
                  <c:v>85142.00000000016</c:v>
                </c:pt>
                <c:pt idx="2">
                  <c:v>81077</c:v>
                </c:pt>
                <c:pt idx="3">
                  <c:v>85831</c:v>
                </c:pt>
                <c:pt idx="4">
                  <c:v>83169</c:v>
                </c:pt>
                <c:pt idx="5">
                  <c:v>74693</c:v>
                </c:pt>
                <c:pt idx="6">
                  <c:v>86672</c:v>
                </c:pt>
                <c:pt idx="7">
                  <c:v>162348</c:v>
                </c:pt>
                <c:pt idx="8">
                  <c:v>187752</c:v>
                </c:pt>
                <c:pt idx="9">
                  <c:v>241285</c:v>
                </c:pt>
                <c:pt idx="10">
                  <c:v>284561</c:v>
                </c:pt>
                <c:pt idx="11">
                  <c:v>337088</c:v>
                </c:pt>
                <c:pt idx="12">
                  <c:v>572363</c:v>
                </c:pt>
                <c:pt idx="13">
                  <c:v>582747</c:v>
                </c:pt>
                <c:pt idx="14">
                  <c:v>628184</c:v>
                </c:pt>
                <c:pt idx="15">
                  <c:v>834228</c:v>
                </c:pt>
                <c:pt idx="16">
                  <c:v>241707</c:v>
                </c:pt>
                <c:pt idx="17">
                  <c:v>902667</c:v>
                </c:pt>
                <c:pt idx="18">
                  <c:v>1591838</c:v>
                </c:pt>
                <c:pt idx="19">
                  <c:v>1493862</c:v>
                </c:pt>
                <c:pt idx="20">
                  <c:v>1783826</c:v>
                </c:pt>
                <c:pt idx="21">
                  <c:v>1743866</c:v>
                </c:pt>
                <c:pt idx="22">
                  <c:v>187009</c:v>
                </c:pt>
                <c:pt idx="23">
                  <c:v>58211</c:v>
                </c:pt>
                <c:pt idx="24">
                  <c:v>74349</c:v>
                </c:pt>
                <c:pt idx="25">
                  <c:v>79303</c:v>
                </c:pt>
                <c:pt idx="26">
                  <c:v>65441</c:v>
                </c:pt>
                <c:pt idx="27">
                  <c:v>66023</c:v>
                </c:pt>
                <c:pt idx="28">
                  <c:v>106799</c:v>
                </c:pt>
                <c:pt idx="29">
                  <c:v>144843</c:v>
                </c:pt>
                <c:pt idx="30">
                  <c:v>167921</c:v>
                </c:pt>
                <c:pt idx="31">
                  <c:v>205799</c:v>
                </c:pt>
                <c:pt idx="32">
                  <c:v>281215</c:v>
                </c:pt>
                <c:pt idx="33">
                  <c:v>327061</c:v>
                </c:pt>
                <c:pt idx="34">
                  <c:v>558989</c:v>
                </c:pt>
                <c:pt idx="35">
                  <c:v>585915</c:v>
                </c:pt>
                <c:pt idx="36">
                  <c:v>659819</c:v>
                </c:pt>
                <c:pt idx="37">
                  <c:v>820442</c:v>
                </c:pt>
                <c:pt idx="38">
                  <c:v>471471</c:v>
                </c:pt>
                <c:pt idx="39">
                  <c:v>1312490</c:v>
                </c:pt>
                <c:pt idx="40">
                  <c:v>1585749</c:v>
                </c:pt>
                <c:pt idx="41">
                  <c:v>1754444</c:v>
                </c:pt>
                <c:pt idx="42">
                  <c:v>1658433</c:v>
                </c:pt>
                <c:pt idx="43">
                  <c:v>1691566</c:v>
                </c:pt>
                <c:pt idx="44">
                  <c:v>139732</c:v>
                </c:pt>
                <c:pt idx="45">
                  <c:v>83208</c:v>
                </c:pt>
                <c:pt idx="46">
                  <c:v>80787</c:v>
                </c:pt>
                <c:pt idx="47">
                  <c:v>122760</c:v>
                </c:pt>
                <c:pt idx="48">
                  <c:v>121479</c:v>
                </c:pt>
                <c:pt idx="49">
                  <c:v>110738</c:v>
                </c:pt>
                <c:pt idx="50">
                  <c:v>184263</c:v>
                </c:pt>
                <c:pt idx="51">
                  <c:v>191920</c:v>
                </c:pt>
                <c:pt idx="52">
                  <c:v>231969</c:v>
                </c:pt>
                <c:pt idx="53">
                  <c:v>230492</c:v>
                </c:pt>
                <c:pt idx="54">
                  <c:v>414454</c:v>
                </c:pt>
                <c:pt idx="55">
                  <c:v>479630</c:v>
                </c:pt>
                <c:pt idx="56">
                  <c:v>709668</c:v>
                </c:pt>
                <c:pt idx="57">
                  <c:v>728577</c:v>
                </c:pt>
                <c:pt idx="58">
                  <c:v>758666</c:v>
                </c:pt>
                <c:pt idx="59">
                  <c:v>1074351</c:v>
                </c:pt>
                <c:pt idx="60">
                  <c:v>691609</c:v>
                </c:pt>
                <c:pt idx="61">
                  <c:v>1415869</c:v>
                </c:pt>
                <c:pt idx="62">
                  <c:v>1909303</c:v>
                </c:pt>
                <c:pt idx="63">
                  <c:v>1980761</c:v>
                </c:pt>
                <c:pt idx="64">
                  <c:v>1956811</c:v>
                </c:pt>
                <c:pt idx="65">
                  <c:v>1833563</c:v>
                </c:pt>
                <c:pt idx="66">
                  <c:v>117647</c:v>
                </c:pt>
                <c:pt idx="67">
                  <c:v>114056</c:v>
                </c:pt>
                <c:pt idx="68">
                  <c:v>107120</c:v>
                </c:pt>
                <c:pt idx="69">
                  <c:v>115780</c:v>
                </c:pt>
                <c:pt idx="70">
                  <c:v>108816</c:v>
                </c:pt>
                <c:pt idx="71">
                  <c:v>102163</c:v>
                </c:pt>
                <c:pt idx="72">
                  <c:v>179380</c:v>
                </c:pt>
                <c:pt idx="73">
                  <c:v>225832</c:v>
                </c:pt>
                <c:pt idx="74">
                  <c:v>313769</c:v>
                </c:pt>
                <c:pt idx="75">
                  <c:v>261610</c:v>
                </c:pt>
                <c:pt idx="76">
                  <c:v>440908</c:v>
                </c:pt>
                <c:pt idx="77">
                  <c:v>711201</c:v>
                </c:pt>
                <c:pt idx="78">
                  <c:v>699420</c:v>
                </c:pt>
                <c:pt idx="79">
                  <c:v>881448</c:v>
                </c:pt>
                <c:pt idx="80">
                  <c:v>929334</c:v>
                </c:pt>
                <c:pt idx="81">
                  <c:v>870884</c:v>
                </c:pt>
                <c:pt idx="82">
                  <c:v>640475</c:v>
                </c:pt>
                <c:pt idx="83">
                  <c:v>1411164</c:v>
                </c:pt>
                <c:pt idx="84">
                  <c:v>1519875</c:v>
                </c:pt>
                <c:pt idx="85">
                  <c:v>1895113</c:v>
                </c:pt>
                <c:pt idx="86">
                  <c:v>1750640</c:v>
                </c:pt>
              </c:numCache>
            </c:numRef>
          </c:val>
          <c:extLst>
            <c:ext xmlns:c16="http://schemas.microsoft.com/office/drawing/2014/chart" uri="{C3380CC4-5D6E-409C-BE32-E72D297353CC}">
              <c16:uniqueId val="{00000002-6651-40CE-B19A-399BE0E8CABF}"/>
            </c:ext>
          </c:extLst>
        </c:ser>
        <c:dLbls>
          <c:showLegendKey val="0"/>
          <c:showVal val="0"/>
          <c:showCatName val="0"/>
          <c:showSerName val="0"/>
          <c:showPercent val="0"/>
          <c:showBubbleSize val="0"/>
        </c:dLbls>
        <c:gapWidth val="219"/>
        <c:overlap val="100"/>
        <c:axId val="778259328"/>
        <c:axId val="778256448"/>
      </c:barChart>
      <c:catAx>
        <c:axId val="7782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21888"/>
        <c:crosses val="autoZero"/>
        <c:auto val="1"/>
        <c:lblAlgn val="ctr"/>
        <c:lblOffset val="100"/>
        <c:noMultiLvlLbl val="0"/>
      </c:catAx>
      <c:valAx>
        <c:axId val="778221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26688"/>
        <c:crosses val="autoZero"/>
        <c:crossBetween val="between"/>
      </c:valAx>
      <c:valAx>
        <c:axId val="7782564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59328"/>
        <c:crosses val="max"/>
        <c:crossBetween val="between"/>
      </c:valAx>
      <c:catAx>
        <c:axId val="778259328"/>
        <c:scaling>
          <c:orientation val="minMax"/>
        </c:scaling>
        <c:delete val="1"/>
        <c:axPos val="b"/>
        <c:numFmt formatCode="General" sourceLinked="1"/>
        <c:majorTickMark val="out"/>
        <c:minorTickMark val="none"/>
        <c:tickLblPos val="nextTo"/>
        <c:crossAx val="778256448"/>
        <c:auto val="1"/>
        <c:lblAlgn val="ctr"/>
        <c:lblOffset val="100"/>
        <c:noMultiLvlLbl val="0"/>
      </c:catAx>
      <c:spPr>
        <a:solidFill>
          <a:schemeClr val="tx2">
            <a:lumMod val="10000"/>
            <a:lumOff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Sheet5!$A$2:$A$89</c:f>
              <c:strCache>
                <c:ptCount val="87"/>
                <c:pt idx="0">
                  <c:v>Q1 2004-05</c:v>
                </c:pt>
                <c:pt idx="1">
                  <c:v>Q1 2005-06</c:v>
                </c:pt>
                <c:pt idx="2">
                  <c:v>Q1 2006-07</c:v>
                </c:pt>
                <c:pt idx="3">
                  <c:v>Q1 2007-08</c:v>
                </c:pt>
                <c:pt idx="4">
                  <c:v>Q1 2008-09</c:v>
                </c:pt>
                <c:pt idx="5">
                  <c:v>Q1 2009-10</c:v>
                </c:pt>
                <c:pt idx="6">
                  <c:v>Q1 2010-11</c:v>
                </c:pt>
                <c:pt idx="7">
                  <c:v>Q1 2011-12</c:v>
                </c:pt>
                <c:pt idx="8">
                  <c:v>Q1 2012-13</c:v>
                </c:pt>
                <c:pt idx="9">
                  <c:v>Q1 2013-14</c:v>
                </c:pt>
                <c:pt idx="10">
                  <c:v>Q1 2014-15</c:v>
                </c:pt>
                <c:pt idx="11">
                  <c:v>Q1 2015-16</c:v>
                </c:pt>
                <c:pt idx="12">
                  <c:v>Q1 2016-17</c:v>
                </c:pt>
                <c:pt idx="13">
                  <c:v>Q1 2017-18</c:v>
                </c:pt>
                <c:pt idx="14">
                  <c:v>Q1 2018-19</c:v>
                </c:pt>
                <c:pt idx="15">
                  <c:v>Q1 2019-20</c:v>
                </c:pt>
                <c:pt idx="16">
                  <c:v>Q1 2020-21</c:v>
                </c:pt>
                <c:pt idx="17">
                  <c:v>Q1 2021-22</c:v>
                </c:pt>
                <c:pt idx="18">
                  <c:v>Q1 2022-23</c:v>
                </c:pt>
                <c:pt idx="19">
                  <c:v>Q1 2023-24</c:v>
                </c:pt>
                <c:pt idx="20">
                  <c:v>Q1 2024-25</c:v>
                </c:pt>
                <c:pt idx="21">
                  <c:v>Q1 2025-26</c:v>
                </c:pt>
                <c:pt idx="22">
                  <c:v>Q2 2004-05</c:v>
                </c:pt>
                <c:pt idx="23">
                  <c:v>Q2 2005-06</c:v>
                </c:pt>
                <c:pt idx="24">
                  <c:v>Q2 2006-07</c:v>
                </c:pt>
                <c:pt idx="25">
                  <c:v>Q2 2007-08</c:v>
                </c:pt>
                <c:pt idx="26">
                  <c:v>Q2 2008-09</c:v>
                </c:pt>
                <c:pt idx="27">
                  <c:v>Q2 2009-10</c:v>
                </c:pt>
                <c:pt idx="28">
                  <c:v>Q2 2010-11</c:v>
                </c:pt>
                <c:pt idx="29">
                  <c:v>Q2 2011-12</c:v>
                </c:pt>
                <c:pt idx="30">
                  <c:v>Q2 2012-13</c:v>
                </c:pt>
                <c:pt idx="31">
                  <c:v>Q2 2013-14</c:v>
                </c:pt>
                <c:pt idx="32">
                  <c:v>Q2 2014-15</c:v>
                </c:pt>
                <c:pt idx="33">
                  <c:v>Q2 2015-16</c:v>
                </c:pt>
                <c:pt idx="34">
                  <c:v>Q2 2016-17</c:v>
                </c:pt>
                <c:pt idx="35">
                  <c:v>Q2 2017-18</c:v>
                </c:pt>
                <c:pt idx="36">
                  <c:v>Q2 2018-19</c:v>
                </c:pt>
                <c:pt idx="37">
                  <c:v>Q2 2019-20</c:v>
                </c:pt>
                <c:pt idx="38">
                  <c:v>Q2 2020-21</c:v>
                </c:pt>
                <c:pt idx="39">
                  <c:v>Q2 2021-22</c:v>
                </c:pt>
                <c:pt idx="40">
                  <c:v>Q2 2022-23</c:v>
                </c:pt>
                <c:pt idx="41">
                  <c:v>Q2 2023-24</c:v>
                </c:pt>
                <c:pt idx="42">
                  <c:v>Q2 2024-25</c:v>
                </c:pt>
                <c:pt idx="43">
                  <c:v>Q2 2025-26</c:v>
                </c:pt>
                <c:pt idx="44">
                  <c:v>Q3 2004-05</c:v>
                </c:pt>
                <c:pt idx="45">
                  <c:v>Q3 2005-06</c:v>
                </c:pt>
                <c:pt idx="46">
                  <c:v>Q3 2006-07</c:v>
                </c:pt>
                <c:pt idx="47">
                  <c:v>Q3 2007-08</c:v>
                </c:pt>
                <c:pt idx="48">
                  <c:v>Q3 2008-09</c:v>
                </c:pt>
                <c:pt idx="49">
                  <c:v>Q3 2009-10</c:v>
                </c:pt>
                <c:pt idx="50">
                  <c:v>Q3 2010-11</c:v>
                </c:pt>
                <c:pt idx="51">
                  <c:v>Q3 2011-12</c:v>
                </c:pt>
                <c:pt idx="52">
                  <c:v>Q3 2012-13</c:v>
                </c:pt>
                <c:pt idx="53">
                  <c:v>Q3 2013-14</c:v>
                </c:pt>
                <c:pt idx="54">
                  <c:v>Q3 2014-15</c:v>
                </c:pt>
                <c:pt idx="55">
                  <c:v>Q3 2015-16</c:v>
                </c:pt>
                <c:pt idx="56">
                  <c:v>Q3 2016-17</c:v>
                </c:pt>
                <c:pt idx="57">
                  <c:v>Q3 2017-18</c:v>
                </c:pt>
                <c:pt idx="58">
                  <c:v>Q3 2018-19</c:v>
                </c:pt>
                <c:pt idx="59">
                  <c:v>Q3 2019-20</c:v>
                </c:pt>
                <c:pt idx="60">
                  <c:v>Q3 2020-21</c:v>
                </c:pt>
                <c:pt idx="61">
                  <c:v>Q3 2021-22</c:v>
                </c:pt>
                <c:pt idx="62">
                  <c:v>Q3 2022-23</c:v>
                </c:pt>
                <c:pt idx="63">
                  <c:v>Q3 2023-24</c:v>
                </c:pt>
                <c:pt idx="64">
                  <c:v>Q3 2024-25</c:v>
                </c:pt>
                <c:pt idx="65">
                  <c:v>Q3 2025-26</c:v>
                </c:pt>
                <c:pt idx="66">
                  <c:v>Q4 2004-05</c:v>
                </c:pt>
                <c:pt idx="67">
                  <c:v>Q4 2005-06</c:v>
                </c:pt>
                <c:pt idx="68">
                  <c:v>Q4 2006-07</c:v>
                </c:pt>
                <c:pt idx="69">
                  <c:v>Q4 2007-08</c:v>
                </c:pt>
                <c:pt idx="70">
                  <c:v>Q4 2008-09</c:v>
                </c:pt>
                <c:pt idx="71">
                  <c:v>Q4 2009-10</c:v>
                </c:pt>
                <c:pt idx="72">
                  <c:v>Q4 2010-11</c:v>
                </c:pt>
                <c:pt idx="73">
                  <c:v>Q4 2011-12</c:v>
                </c:pt>
                <c:pt idx="74">
                  <c:v>Q4 2012-13</c:v>
                </c:pt>
                <c:pt idx="75">
                  <c:v>Q4 2013-14</c:v>
                </c:pt>
                <c:pt idx="76">
                  <c:v>Q4 2014-15</c:v>
                </c:pt>
                <c:pt idx="77">
                  <c:v>Q4 2015-16</c:v>
                </c:pt>
                <c:pt idx="78">
                  <c:v>Q4 2016-17</c:v>
                </c:pt>
                <c:pt idx="79">
                  <c:v>Q4 2017-18</c:v>
                </c:pt>
                <c:pt idx="80">
                  <c:v>Q4 2018-19</c:v>
                </c:pt>
                <c:pt idx="81">
                  <c:v>Q4 2019-20</c:v>
                </c:pt>
                <c:pt idx="82">
                  <c:v>Q4 2020-21</c:v>
                </c:pt>
                <c:pt idx="83">
                  <c:v>Q4 2021-22</c:v>
                </c:pt>
                <c:pt idx="84">
                  <c:v>Q4 2022-23</c:v>
                </c:pt>
                <c:pt idx="85">
                  <c:v>Q4 2023-24</c:v>
                </c:pt>
                <c:pt idx="86">
                  <c:v>Q4 2024-25</c:v>
                </c:pt>
              </c:strCache>
            </c:strRef>
          </c:cat>
          <c:val>
            <c:numRef>
              <c:f>Sheet5!$B$2:$B$89</c:f>
              <c:numCache>
                <c:formatCode>0.0%</c:formatCode>
                <c:ptCount val="87"/>
                <c:pt idx="0">
                  <c:v>0.94713539665498303</c:v>
                </c:pt>
                <c:pt idx="1">
                  <c:v>0.98247954863570452</c:v>
                </c:pt>
                <c:pt idx="2">
                  <c:v>0.98342567978078899</c:v>
                </c:pt>
                <c:pt idx="3">
                  <c:v>0.98257000044270015</c:v>
                </c:pt>
                <c:pt idx="4">
                  <c:v>0.98332435747778324</c:v>
                </c:pt>
                <c:pt idx="5">
                  <c:v>0.98588472427183771</c:v>
                </c:pt>
                <c:pt idx="6">
                  <c:v>0.98430944599519932</c:v>
                </c:pt>
                <c:pt idx="7">
                  <c:v>0.97049150113864036</c:v>
                </c:pt>
                <c:pt idx="8">
                  <c:v>0.96639909716096428</c:v>
                </c:pt>
                <c:pt idx="9">
                  <c:v>0.95655752920305925</c:v>
                </c:pt>
                <c:pt idx="10">
                  <c:v>0.95091998827161561</c:v>
                </c:pt>
                <c:pt idx="11">
                  <c:v>0.94098783336233571</c:v>
                </c:pt>
                <c:pt idx="12">
                  <c:v>0.90293870209938298</c:v>
                </c:pt>
                <c:pt idx="13">
                  <c:v>0.90304689692738194</c:v>
                </c:pt>
                <c:pt idx="14">
                  <c:v>0.89937413990490434</c:v>
                </c:pt>
                <c:pt idx="15">
                  <c:v>0.86014557649371148</c:v>
                </c:pt>
                <c:pt idx="16">
                  <c:v>0.92436959013384978</c:v>
                </c:pt>
                <c:pt idx="17">
                  <c:v>0.83354975545099763</c:v>
                </c:pt>
                <c:pt idx="18">
                  <c:v>0.72387015927825638</c:v>
                </c:pt>
                <c:pt idx="19">
                  <c:v>0.74218773055749376</c:v>
                </c:pt>
                <c:pt idx="20">
                  <c:v>0.74337223646872219</c:v>
                </c:pt>
                <c:pt idx="21">
                  <c:v>0.75252134702877205</c:v>
                </c:pt>
                <c:pt idx="22">
                  <c:v>0.95895950903011939</c:v>
                </c:pt>
                <c:pt idx="23">
                  <c:v>0.98773021264666427</c:v>
                </c:pt>
                <c:pt idx="24">
                  <c:v>0.9848024869066605</c:v>
                </c:pt>
                <c:pt idx="25">
                  <c:v>0.98364100691672496</c:v>
                </c:pt>
                <c:pt idx="26">
                  <c:v>0.98672654504386825</c:v>
                </c:pt>
                <c:pt idx="27">
                  <c:v>0.98725567899513988</c:v>
                </c:pt>
                <c:pt idx="28">
                  <c:v>0.98013340506208557</c:v>
                </c:pt>
                <c:pt idx="29">
                  <c:v>0.97290036431453786</c:v>
                </c:pt>
                <c:pt idx="30">
                  <c:v>0.96943358543072689</c:v>
                </c:pt>
                <c:pt idx="31">
                  <c:v>0.96275233020780793</c:v>
                </c:pt>
                <c:pt idx="32">
                  <c:v>0.94982101941048558</c:v>
                </c:pt>
                <c:pt idx="33">
                  <c:v>0.94239868770994362</c:v>
                </c:pt>
                <c:pt idx="34">
                  <c:v>0.90627907354957304</c:v>
                </c:pt>
                <c:pt idx="35">
                  <c:v>0.90110418177325335</c:v>
                </c:pt>
                <c:pt idx="36">
                  <c:v>0.89329265482267572</c:v>
                </c:pt>
                <c:pt idx="37">
                  <c:v>0.86019821732884227</c:v>
                </c:pt>
                <c:pt idx="38">
                  <c:v>0.89429309004226742</c:v>
                </c:pt>
                <c:pt idx="39">
                  <c:v>0.76653143471395391</c:v>
                </c:pt>
                <c:pt idx="40">
                  <c:v>0.71267593231124482</c:v>
                </c:pt>
                <c:pt idx="41">
                  <c:v>0.72923968323195509</c:v>
                </c:pt>
                <c:pt idx="42">
                  <c:v>0.75246677532597794</c:v>
                </c:pt>
                <c:pt idx="43">
                  <c:v>0.75786430767138679</c:v>
                </c:pt>
                <c:pt idx="44">
                  <c:v>0.96806072421322686</c:v>
                </c:pt>
                <c:pt idx="45">
                  <c:v>0.98193475382280959</c:v>
                </c:pt>
                <c:pt idx="46">
                  <c:v>0.98228020685484696</c:v>
                </c:pt>
                <c:pt idx="47">
                  <c:v>0.9738703714149185</c:v>
                </c:pt>
                <c:pt idx="48">
                  <c:v>0.97503067749474326</c:v>
                </c:pt>
                <c:pt idx="49">
                  <c:v>0.97839837670837126</c:v>
                </c:pt>
                <c:pt idx="50">
                  <c:v>0.96490709845506906</c:v>
                </c:pt>
                <c:pt idx="51">
                  <c:v>0.96346868560932319</c:v>
                </c:pt>
                <c:pt idx="52">
                  <c:v>0.95665303234807331</c:v>
                </c:pt>
                <c:pt idx="53">
                  <c:v>0.95646386687189489</c:v>
                </c:pt>
                <c:pt idx="54">
                  <c:v>0.92564275027848941</c:v>
                </c:pt>
                <c:pt idx="55">
                  <c:v>0.91533443542315573</c:v>
                </c:pt>
                <c:pt idx="56">
                  <c:v>0.87877738137088002</c:v>
                </c:pt>
                <c:pt idx="57">
                  <c:v>0.8790756012137303</c:v>
                </c:pt>
                <c:pt idx="58">
                  <c:v>0.87693696706995794</c:v>
                </c:pt>
                <c:pt idx="59">
                  <c:v>0.81626620997912891</c:v>
                </c:pt>
                <c:pt idx="60">
                  <c:v>0.82897991158307249</c:v>
                </c:pt>
                <c:pt idx="61">
                  <c:v>0.73821841519109699</c:v>
                </c:pt>
                <c:pt idx="62">
                  <c:v>0.67869866178783478</c:v>
                </c:pt>
                <c:pt idx="63">
                  <c:v>0.69882703226573561</c:v>
                </c:pt>
                <c:pt idx="64">
                  <c:v>0.72131027300843642</c:v>
                </c:pt>
                <c:pt idx="65">
                  <c:v>0.74067699717816482</c:v>
                </c:pt>
                <c:pt idx="66">
                  <c:v>0.97328014208558744</c:v>
                </c:pt>
                <c:pt idx="67">
                  <c:v>0.9749292208134771</c:v>
                </c:pt>
                <c:pt idx="68">
                  <c:v>0.97660742089827324</c:v>
                </c:pt>
                <c:pt idx="69">
                  <c:v>0.97486715059738815</c:v>
                </c:pt>
                <c:pt idx="70">
                  <c:v>0.97735615364254291</c:v>
                </c:pt>
                <c:pt idx="71">
                  <c:v>0.97920688481021645</c:v>
                </c:pt>
                <c:pt idx="72">
                  <c:v>0.96570581253785404</c:v>
                </c:pt>
                <c:pt idx="73">
                  <c:v>0.9580336047816328</c:v>
                </c:pt>
                <c:pt idx="74">
                  <c:v>0.94086345250958425</c:v>
                </c:pt>
                <c:pt idx="75">
                  <c:v>0.95159950491294354</c:v>
                </c:pt>
                <c:pt idx="76">
                  <c:v>0.9180288765883825</c:v>
                </c:pt>
                <c:pt idx="77">
                  <c:v>0.87874326426161486</c:v>
                </c:pt>
                <c:pt idx="78">
                  <c:v>0.87613705289349131</c:v>
                </c:pt>
                <c:pt idx="79">
                  <c:v>0.84983550779461869</c:v>
                </c:pt>
                <c:pt idx="80">
                  <c:v>0.85097061199237767</c:v>
                </c:pt>
                <c:pt idx="81">
                  <c:v>0.82777533216497645</c:v>
                </c:pt>
                <c:pt idx="82">
                  <c:v>0.83144121674452776</c:v>
                </c:pt>
                <c:pt idx="83">
                  <c:v>0.73009428005995758</c:v>
                </c:pt>
                <c:pt idx="84">
                  <c:v>0.71841698796633846</c:v>
                </c:pt>
                <c:pt idx="85">
                  <c:v>0.7196108875036471</c:v>
                </c:pt>
                <c:pt idx="86">
                  <c:v>0.73852565955193705</c:v>
                </c:pt>
              </c:numCache>
            </c:numRef>
          </c:val>
          <c:smooth val="0"/>
          <c:extLst>
            <c:ext xmlns:c16="http://schemas.microsoft.com/office/drawing/2014/chart" uri="{C3380CC4-5D6E-409C-BE32-E72D297353CC}">
              <c16:uniqueId val="{00000000-6CE2-46B2-8ADB-4D79B5C9FB73}"/>
            </c:ext>
          </c:extLst>
        </c:ser>
        <c:dLbls>
          <c:showLegendKey val="0"/>
          <c:showVal val="0"/>
          <c:showCatName val="0"/>
          <c:showSerName val="0"/>
          <c:showPercent val="0"/>
          <c:showBubbleSize val="0"/>
        </c:dLbls>
        <c:smooth val="0"/>
        <c:axId val="919801087"/>
        <c:axId val="919825567"/>
      </c:lineChart>
      <c:catAx>
        <c:axId val="91980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25567"/>
        <c:crosses val="autoZero"/>
        <c:auto val="1"/>
        <c:lblAlgn val="ctr"/>
        <c:lblOffset val="100"/>
        <c:noMultiLvlLbl val="0"/>
      </c:catAx>
      <c:valAx>
        <c:axId val="9198255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23813</xdr:colOff>
      <xdr:row>5</xdr:row>
      <xdr:rowOff>202405</xdr:rowOff>
    </xdr:from>
    <xdr:to>
      <xdr:col>7</xdr:col>
      <xdr:colOff>-1</xdr:colOff>
      <xdr:row>21</xdr:row>
      <xdr:rowOff>107155</xdr:rowOff>
    </xdr:to>
    <xdr:graphicFrame macro="">
      <xdr:nvGraphicFramePr>
        <xdr:cNvPr id="6" name="Chart 5">
          <a:extLst>
            <a:ext uri="{FF2B5EF4-FFF2-40B4-BE49-F238E27FC236}">
              <a16:creationId xmlns:a16="http://schemas.microsoft.com/office/drawing/2014/main" id="{43B17854-B4AD-4569-8EC5-938DFB608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381001</xdr:colOff>
      <xdr:row>0</xdr:row>
      <xdr:rowOff>319087</xdr:rowOff>
    </xdr:from>
    <xdr:to>
      <xdr:col>19</xdr:col>
      <xdr:colOff>428626</xdr:colOff>
      <xdr:row>5</xdr:row>
      <xdr:rowOff>178594</xdr:rowOff>
    </xdr:to>
    <mc:AlternateContent xmlns:mc="http://schemas.openxmlformats.org/markup-compatibility/2006">
      <mc:Choice xmlns:a14="http://schemas.microsoft.com/office/drawing/2010/main" Requires="a14">
        <xdr:graphicFrame macro="">
          <xdr:nvGraphicFramePr>
            <xdr:cNvPr id="9" name="Quarter &amp; Year">
              <a:extLst>
                <a:ext uri="{FF2B5EF4-FFF2-40B4-BE49-F238E27FC236}">
                  <a16:creationId xmlns:a16="http://schemas.microsoft.com/office/drawing/2014/main" id="{C217CFCC-CF77-B22C-34C8-643F23117E94}"/>
                </a:ext>
              </a:extLst>
            </xdr:cNvPr>
            <xdr:cNvGraphicFramePr/>
          </xdr:nvGraphicFramePr>
          <xdr:xfrm>
            <a:off x="0" y="0"/>
            <a:ext cx="0" cy="0"/>
          </xdr:xfrm>
          <a:graphic>
            <a:graphicData uri="http://schemas.microsoft.com/office/drawing/2010/slicer">
              <sle:slicer xmlns:sle="http://schemas.microsoft.com/office/drawing/2010/slicer" name="Quarter &amp; Year"/>
            </a:graphicData>
          </a:graphic>
        </xdr:graphicFrame>
      </mc:Choice>
      <mc:Fallback>
        <xdr:sp macro="" textlink="">
          <xdr:nvSpPr>
            <xdr:cNvPr id="0" name=""/>
            <xdr:cNvSpPr>
              <a:spLocks noTextEdit="1"/>
            </xdr:cNvSpPr>
          </xdr:nvSpPr>
          <xdr:spPr>
            <a:xfrm>
              <a:off x="10810876" y="319087"/>
              <a:ext cx="4905375" cy="1240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83345</xdr:colOff>
      <xdr:row>6</xdr:row>
      <xdr:rowOff>0</xdr:rowOff>
    </xdr:from>
    <xdr:to>
      <xdr:col>19</xdr:col>
      <xdr:colOff>464344</xdr:colOff>
      <xdr:row>21</xdr:row>
      <xdr:rowOff>142875</xdr:rowOff>
    </xdr:to>
    <xdr:graphicFrame macro="">
      <xdr:nvGraphicFramePr>
        <xdr:cNvPr id="10" name="Chart 9">
          <a:extLst>
            <a:ext uri="{FF2B5EF4-FFF2-40B4-BE49-F238E27FC236}">
              <a16:creationId xmlns:a16="http://schemas.microsoft.com/office/drawing/2014/main" id="{FD4B97DD-34E7-421A-B3C6-780BCC666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2</xdr:row>
      <xdr:rowOff>14287</xdr:rowOff>
    </xdr:from>
    <xdr:to>
      <xdr:col>10</xdr:col>
      <xdr:colOff>114300</xdr:colOff>
      <xdr:row>16</xdr:row>
      <xdr:rowOff>90487</xdr:rowOff>
    </xdr:to>
    <xdr:graphicFrame macro="">
      <xdr:nvGraphicFramePr>
        <xdr:cNvPr id="2" name="Chart 1">
          <a:extLst>
            <a:ext uri="{FF2B5EF4-FFF2-40B4-BE49-F238E27FC236}">
              <a16:creationId xmlns:a16="http://schemas.microsoft.com/office/drawing/2014/main" id="{602B24E6-4D89-F191-5C15-8B767911D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866775</xdr:colOff>
      <xdr:row>3</xdr:row>
      <xdr:rowOff>90487</xdr:rowOff>
    </xdr:from>
    <xdr:to>
      <xdr:col>8</xdr:col>
      <xdr:colOff>28575</xdr:colOff>
      <xdr:row>17</xdr:row>
      <xdr:rowOff>166687</xdr:rowOff>
    </xdr:to>
    <xdr:graphicFrame macro="">
      <xdr:nvGraphicFramePr>
        <xdr:cNvPr id="2" name="Chart 1">
          <a:extLst>
            <a:ext uri="{FF2B5EF4-FFF2-40B4-BE49-F238E27FC236}">
              <a16:creationId xmlns:a16="http://schemas.microsoft.com/office/drawing/2014/main" id="{8EC96F2A-095F-A6C0-E18A-03122B019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400050</xdr:colOff>
      <xdr:row>2</xdr:row>
      <xdr:rowOff>47625</xdr:rowOff>
    </xdr:from>
    <xdr:to>
      <xdr:col>6</xdr:col>
      <xdr:colOff>581025</xdr:colOff>
      <xdr:row>16</xdr:row>
      <xdr:rowOff>123825</xdr:rowOff>
    </xdr:to>
    <xdr:graphicFrame macro="">
      <xdr:nvGraphicFramePr>
        <xdr:cNvPr id="2" name="Chart 1">
          <a:extLst>
            <a:ext uri="{FF2B5EF4-FFF2-40B4-BE49-F238E27FC236}">
              <a16:creationId xmlns:a16="http://schemas.microsoft.com/office/drawing/2014/main" id="{79734C60-3A03-DA0E-CAA4-8621199CB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Waqas" refreshedDate="46078.117357754629" createdVersion="8" refreshedVersion="8" minRefreshableVersion="3" recordCount="87" xr:uid="{C8705438-FF99-4A27-9FD3-2861F41E5C37}">
  <cacheSource type="worksheet">
    <worksheetSource name="AandE_Data"/>
  </cacheSource>
  <cacheFields count="11">
    <cacheField name="Year" numFmtId="2">
      <sharedItems/>
    </cacheField>
    <cacheField name="Years" numFmtId="0">
      <sharedItems/>
    </cacheField>
    <cacheField name="Quarter" numFmtId="0">
      <sharedItems/>
    </cacheField>
    <cacheField name="Quarter Code " numFmtId="0">
      <sharedItems count="4">
        <s v="Q1"/>
        <s v="Q2"/>
        <s v="Q3"/>
        <s v="Q4"/>
      </sharedItems>
    </cacheField>
    <cacheField name="Quarter &amp; Year" numFmtId="0">
      <sharedItems count="87">
        <s v="Q1 2004-05"/>
        <s v="Q2 2004-05"/>
        <s v="Q3 2004-05"/>
        <s v="Q4 2004-05"/>
        <s v="Q1 2005-06"/>
        <s v="Q2 2005-06"/>
        <s v="Q3 2005-06"/>
        <s v="Q4 2005-06"/>
        <s v="Q1 2006-07"/>
        <s v="Q2 2006-07"/>
        <s v="Q3 2006-07"/>
        <s v="Q4 2006-07"/>
        <s v="Q1 2007-08"/>
        <s v="Q2 2007-08"/>
        <s v="Q3 2007-08"/>
        <s v="Q4 2007-08"/>
        <s v="Q1 2008-09"/>
        <s v="Q2 2008-09"/>
        <s v="Q3 2008-09"/>
        <s v="Q4 2008-09"/>
        <s v="Q1 2009-10"/>
        <s v="Q2 2009-10"/>
        <s v="Q3 2009-10"/>
        <s v="Q4 2009-10"/>
        <s v="Q1 2010-11"/>
        <s v="Q2 2010-11"/>
        <s v="Q3 2010-11"/>
        <s v="Q4 2010-11"/>
        <s v="Q1 2011-12"/>
        <s v="Q2 2011-12"/>
        <s v="Q3 2011-12"/>
        <s v="Q4 2011-12"/>
        <s v="Q1 2012-13"/>
        <s v="Q2 2012-13"/>
        <s v="Q3 2012-13"/>
        <s v="Q4 2012-13"/>
        <s v="Q1 2013-14"/>
        <s v="Q2 2013-14"/>
        <s v="Q3 2013-14"/>
        <s v="Q4 2013-14"/>
        <s v="Q1 2014-15"/>
        <s v="Q2 2014-15"/>
        <s v="Q3 2014-15"/>
        <s v="Q4 2014-15"/>
        <s v="Q1 2015-16"/>
        <s v="Q2 2015-16"/>
        <s v="Q3 2015-16"/>
        <s v="Q4 2015-16"/>
        <s v="Q1 2016-17"/>
        <s v="Q2 2016-17"/>
        <s v="Q3 2016-17"/>
        <s v="Q4 2016-17"/>
        <s v="Q1 2017-18"/>
        <s v="Q2 2017-18"/>
        <s v="Q3 2017-18"/>
        <s v="Q4 2017-18"/>
        <s v="Q1 2018-19"/>
        <s v="Q2 2018-19"/>
        <s v="Q3 2018-19"/>
        <s v="Q4 2018-19"/>
        <s v="Q1 2019-20"/>
        <s v="Q2 2019-20"/>
        <s v="Q3 2019-20"/>
        <s v="Q4 2019-20"/>
        <s v="Q1 2020-21"/>
        <s v="Q2 2020-21"/>
        <s v="Q3 2020-21"/>
        <s v="Q4 2020-21"/>
        <s v="Q1 2021-22"/>
        <s v="Q2 2021-22"/>
        <s v="Q3 2021-22"/>
        <s v="Q4 2021-22"/>
        <s v="Q1 2022-23"/>
        <s v="Q2 2022-23"/>
        <s v="Q3 2022-23"/>
        <s v="Q4 2022-23"/>
        <s v="Q1 2023-24"/>
        <s v="Q2 2023-24"/>
        <s v="Q3 2023-24"/>
        <s v="Q4 2023-24"/>
        <s v="Q1 2024-25"/>
        <s v="Q2 2024-25"/>
        <s v="Q3 2024-25"/>
        <s v="Q4 2024-25"/>
        <s v="Q1 2025-26"/>
        <s v="Q2 2025-26"/>
        <s v="Q3 2025-26"/>
      </sharedItems>
    </cacheField>
    <cacheField name="Total attendances" numFmtId="3">
      <sharedItems containsSemiMixedTypes="0" containsString="0" containsNumber="1" minValue="3589014" maxValue="7070576"/>
    </cacheField>
    <cacheField name="Total Attendances &lt; 4 hours" numFmtId="3">
      <sharedItems containsSemiMixedTypes="0" containsString="0" containsNumber="1" minValue="2954190" maxValue="5614585"/>
    </cacheField>
    <cacheField name="Total Attendances &gt; 4 hours" numFmtId="3">
      <sharedItems containsSemiMixedTypes="0" containsString="0" containsNumber="1" minValue="58211" maxValue="1980761"/>
    </cacheField>
    <cacheField name="Percentage in 4 hours or less (all)" numFmtId="164">
      <sharedItems containsSemiMixedTypes="0" containsString="0" containsNumber="1" minValue="0.67869866178783478" maxValue="0.98773021264666427"/>
    </cacheField>
    <cacheField name="year2" numFmtId="0">
      <sharedItems containsSemiMixedTypes="0" containsString="0" containsNumber="1" minValue="2004" maxValue="2025.5"/>
    </cacheField>
    <cacheField name="Sortkey" numFmtId="3">
      <sharedItems containsSemiMixedTypes="0" containsString="0" containsNumber="1" minValue="2004" maxValue="2025.5"/>
    </cacheField>
  </cacheFields>
  <extLst>
    <ext xmlns:x14="http://schemas.microsoft.com/office/spreadsheetml/2009/9/main" uri="{725AE2AE-9491-48be-B2B4-4EB974FC3084}">
      <x14:pivotCacheDefinition pivotCacheId="127322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s v="2004"/>
    <s v="2004-05"/>
    <s v="Q1: April - June"/>
    <x v="0"/>
    <x v="0"/>
    <n v="4502578"/>
    <n v="4264551"/>
    <n v="238027"/>
    <n v="0.94713539665498303"/>
    <n v="2004"/>
    <n v="2004"/>
  </r>
  <r>
    <s v="2004"/>
    <s v="2004-05"/>
    <s v="Q2: July - Sept"/>
    <x v="1"/>
    <x v="1"/>
    <n v="4556695"/>
    <n v="4369686"/>
    <n v="187009"/>
    <n v="0.95895950903011939"/>
    <n v="2004.25"/>
    <n v="2004.25"/>
  </r>
  <r>
    <s v="2004"/>
    <s v="2004-05"/>
    <s v="Q3: Oct - Dec"/>
    <x v="2"/>
    <x v="2"/>
    <n v="4374927"/>
    <n v="4235195"/>
    <n v="139732"/>
    <n v="0.96806072421322686"/>
    <n v="2004.5"/>
    <n v="2004.5"/>
  </r>
  <r>
    <s v="2004"/>
    <s v="2004-05"/>
    <s v="Q4: Jan - Mar"/>
    <x v="3"/>
    <x v="3"/>
    <n v="4402980"/>
    <n v="4285333"/>
    <n v="117647"/>
    <n v="0.97328014208558744"/>
    <n v="2004.75"/>
    <n v="2004.75"/>
  </r>
  <r>
    <s v="2005"/>
    <s v="2005-06"/>
    <s v="Q1: April - June"/>
    <x v="0"/>
    <x v="4"/>
    <n v="4859578"/>
    <n v="4774436"/>
    <n v="85142.00000000016"/>
    <n v="0.98247954863570452"/>
    <n v="2005"/>
    <n v="2005"/>
  </r>
  <r>
    <s v="2005"/>
    <s v="2005-06"/>
    <s v="Q2: July - Sept"/>
    <x v="1"/>
    <x v="5"/>
    <n v="4744255"/>
    <n v="4686044"/>
    <n v="58211"/>
    <n v="0.98773021264666427"/>
    <n v="2005.25"/>
    <n v="2005.25"/>
  </r>
  <r>
    <s v="2005"/>
    <s v="2005-06"/>
    <s v="Q3: Oct - Dec"/>
    <x v="2"/>
    <x v="6"/>
    <n v="4605971"/>
    <n v="4522763"/>
    <n v="83208"/>
    <n v="0.98193475382280959"/>
    <n v="2005.5"/>
    <n v="2005.5"/>
  </r>
  <r>
    <s v="2005"/>
    <s v="2005-06"/>
    <s v="Q4: Jan - Mar"/>
    <x v="3"/>
    <x v="7"/>
    <n v="4549360"/>
    <n v="4435304"/>
    <n v="114056"/>
    <n v="0.9749292208134771"/>
    <n v="2005.75"/>
    <n v="2005.75"/>
  </r>
  <r>
    <s v="2006"/>
    <s v="2006-07"/>
    <s v="Q1: April - June"/>
    <x v="0"/>
    <x v="8"/>
    <n v="4891724"/>
    <n v="4810647"/>
    <n v="81077"/>
    <n v="0.98342567978078899"/>
    <n v="2006"/>
    <n v="2006"/>
  </r>
  <r>
    <s v="2006"/>
    <s v="2006-07"/>
    <s v="Q2: July - Sept"/>
    <x v="1"/>
    <x v="9"/>
    <n v="4892182"/>
    <n v="4817833"/>
    <n v="74349"/>
    <n v="0.9848024869066605"/>
    <n v="2006.25"/>
    <n v="2006.25"/>
  </r>
  <r>
    <s v="2006"/>
    <s v="2006-07"/>
    <s v="Q3: Oct - Dec"/>
    <x v="2"/>
    <x v="10"/>
    <n v="4559139"/>
    <n v="4478352"/>
    <n v="80787"/>
    <n v="0.98228020685484696"/>
    <n v="2006.5"/>
    <n v="2006.5"/>
  </r>
  <r>
    <s v="2006"/>
    <s v="2006-07"/>
    <s v="Q4: Jan - Mar"/>
    <x v="3"/>
    <x v="11"/>
    <n v="4579230"/>
    <n v="4472110"/>
    <n v="107120"/>
    <n v="0.97660742089827324"/>
    <n v="2006.75"/>
    <n v="2006.75"/>
  </r>
  <r>
    <s v="2007"/>
    <s v="2007-08"/>
    <s v="Q1: April - June"/>
    <x v="0"/>
    <x v="12"/>
    <n v="4924326"/>
    <n v="4838495"/>
    <n v="85831"/>
    <n v="0.98257000044270015"/>
    <n v="2007"/>
    <n v="2007"/>
  </r>
  <r>
    <s v="2007"/>
    <s v="2007-08"/>
    <s v="Q2: July - Sept"/>
    <x v="1"/>
    <x v="13"/>
    <n v="4847670"/>
    <n v="4768367"/>
    <n v="79303"/>
    <n v="0.98364100691672496"/>
    <n v="2007.25"/>
    <n v="2007.25"/>
  </r>
  <r>
    <s v="2007"/>
    <s v="2007-08"/>
    <s v="Q3: Oct - Dec"/>
    <x v="2"/>
    <x v="14"/>
    <n v="4698115"/>
    <n v="4575355"/>
    <n v="122760"/>
    <n v="0.9738703714149185"/>
    <n v="2007.5"/>
    <n v="2007.5"/>
  </r>
  <r>
    <s v="2007"/>
    <s v="2007-08"/>
    <s v="Q4: Jan - Mar"/>
    <x v="3"/>
    <x v="15"/>
    <n v="4606720"/>
    <n v="4490940"/>
    <n v="115780"/>
    <n v="0.97486715059738815"/>
    <n v="2007.75"/>
    <n v="2007.75"/>
  </r>
  <r>
    <s v="2008"/>
    <s v="2008-09"/>
    <s v="Q1: April - June"/>
    <x v="0"/>
    <x v="16"/>
    <n v="4987454"/>
    <n v="4904285"/>
    <n v="83169"/>
    <n v="0.98332435747778324"/>
    <n v="2008"/>
    <n v="2008"/>
  </r>
  <r>
    <s v="2008"/>
    <s v="2008-09"/>
    <s v="Q2: July - Sept"/>
    <x v="1"/>
    <x v="17"/>
    <n v="4930216"/>
    <n v="4864775"/>
    <n v="65441"/>
    <n v="0.98672654504386825"/>
    <n v="2008.25"/>
    <n v="2008.25"/>
  </r>
  <r>
    <s v="2008"/>
    <s v="2008-09"/>
    <s v="Q3: Oct - Dec"/>
    <x v="2"/>
    <x v="18"/>
    <n v="4865130"/>
    <n v="4743651"/>
    <n v="121479"/>
    <n v="0.97503067749474326"/>
    <n v="2008.5"/>
    <n v="2008.5"/>
  </r>
  <r>
    <s v="2008"/>
    <s v="2008-09"/>
    <s v="Q4: Jan - Mar"/>
    <x v="3"/>
    <x v="19"/>
    <n v="4805544"/>
    <n v="4696728"/>
    <n v="108816"/>
    <n v="0.97735615364254291"/>
    <n v="2008.75"/>
    <n v="2008.75"/>
  </r>
  <r>
    <s v="2009"/>
    <s v="2009-10"/>
    <s v="Q1: April - June"/>
    <x v="0"/>
    <x v="20"/>
    <n v="5291643"/>
    <n v="5216950"/>
    <n v="74693"/>
    <n v="0.98588472427183771"/>
    <n v="2009"/>
    <n v="2009"/>
  </r>
  <r>
    <s v="2009"/>
    <s v="2009-10"/>
    <s v="Q2: July - Sept"/>
    <x v="1"/>
    <x v="21"/>
    <n v="5180582"/>
    <n v="5114559"/>
    <n v="66023"/>
    <n v="0.98725567899513988"/>
    <n v="2009.25"/>
    <n v="2009.25"/>
  </r>
  <r>
    <s v="2009"/>
    <s v="2009-10"/>
    <s v="Q3: Oct - Dec"/>
    <x v="2"/>
    <x v="22"/>
    <n v="5126374"/>
    <n v="5015636"/>
    <n v="110738"/>
    <n v="0.97839837670837126"/>
    <n v="2009.5"/>
    <n v="2009.5"/>
  </r>
  <r>
    <s v="2009"/>
    <s v="2009-10"/>
    <s v="Q4: Jan - Mar"/>
    <x v="3"/>
    <x v="23"/>
    <n v="4913309"/>
    <n v="4811146"/>
    <n v="102163"/>
    <n v="0.97920688481021645"/>
    <n v="2009.75"/>
    <n v="2009.75"/>
  </r>
  <r>
    <s v="2010"/>
    <s v="2010-11"/>
    <s v="Q1: April - June"/>
    <x v="0"/>
    <x v="24"/>
    <n v="5523833"/>
    <n v="5437161"/>
    <n v="86672"/>
    <n v="0.98430944599519932"/>
    <n v="2010"/>
    <n v="2010"/>
  </r>
  <r>
    <s v="2010"/>
    <s v="2010-11"/>
    <s v="Q2: July - Sept"/>
    <x v="1"/>
    <x v="25"/>
    <n v="5375808"/>
    <n v="5269009"/>
    <n v="106799"/>
    <n v="0.98013340506208557"/>
    <n v="2010.25"/>
    <n v="2010.25"/>
  </r>
  <r>
    <s v="2010"/>
    <s v="2010-11"/>
    <s v="Q3: Oct - Dec"/>
    <x v="2"/>
    <x v="26"/>
    <n v="5250720"/>
    <n v="5066457"/>
    <n v="184263"/>
    <n v="0.96490709845506906"/>
    <n v="2010.5"/>
    <n v="2010.5"/>
  </r>
  <r>
    <s v="2010"/>
    <s v="2010-11"/>
    <s v="Q4: Jan - Mar"/>
    <x v="3"/>
    <x v="27"/>
    <n v="5230624"/>
    <n v="5051244"/>
    <n v="179380"/>
    <n v="0.96570581253785404"/>
    <n v="2010.75"/>
    <n v="2010.75"/>
  </r>
  <r>
    <s v="2011"/>
    <s v="2011-12"/>
    <s v="Q1: April - June"/>
    <x v="0"/>
    <x v="28"/>
    <n v="5501737"/>
    <n v="5339389"/>
    <n v="162348"/>
    <n v="0.97049150113864036"/>
    <n v="2011"/>
    <n v="2011"/>
  </r>
  <r>
    <s v="2011"/>
    <s v="2011-12"/>
    <s v="Q2: July - Sept"/>
    <x v="1"/>
    <x v="29"/>
    <n v="5344832"/>
    <n v="5199989"/>
    <n v="144843"/>
    <n v="0.97290036431453786"/>
    <n v="2011.25"/>
    <n v="2011.25"/>
  </r>
  <r>
    <s v="2011"/>
    <s v="2011-12"/>
    <s v="Q3: Oct - Dec"/>
    <x v="2"/>
    <x v="30"/>
    <n v="5253575"/>
    <n v="5061655"/>
    <n v="191920"/>
    <n v="0.96346868560932319"/>
    <n v="2011.5"/>
    <n v="2011.5"/>
  </r>
  <r>
    <s v="2011"/>
    <s v="2011-12"/>
    <s v="Q4: Jan - Mar"/>
    <x v="3"/>
    <x v="31"/>
    <n v="5381258"/>
    <n v="5155426"/>
    <n v="225832"/>
    <n v="0.9580336047816328"/>
    <n v="2011.75"/>
    <n v="2011.75"/>
  </r>
  <r>
    <s v="2012"/>
    <s v="2012-13"/>
    <s v="Q1: April - June"/>
    <x v="0"/>
    <x v="32"/>
    <n v="5587707"/>
    <n v="5399955"/>
    <n v="187752"/>
    <n v="0.96639909716096428"/>
    <n v="2012"/>
    <n v="2012"/>
  </r>
  <r>
    <s v="2012"/>
    <s v="2012-13"/>
    <s v="Q2: July - Sept"/>
    <x v="1"/>
    <x v="33"/>
    <n v="5493644"/>
    <n v="5325723"/>
    <n v="167921"/>
    <n v="0.96943358543072689"/>
    <n v="2012.25"/>
    <n v="2012.25"/>
  </r>
  <r>
    <s v="2012"/>
    <s v="2012-13"/>
    <s v="Q3: Oct - Dec"/>
    <x v="2"/>
    <x v="34"/>
    <n v="5351447"/>
    <n v="5119478"/>
    <n v="231969"/>
    <n v="0.95665303234807331"/>
    <n v="2012.5"/>
    <n v="2012.5"/>
  </r>
  <r>
    <s v="2012"/>
    <s v="2012-13"/>
    <s v="Q4: Jan - Mar"/>
    <x v="3"/>
    <x v="35"/>
    <n v="5305839"/>
    <n v="4992070"/>
    <n v="313769"/>
    <n v="0.94086345250958425"/>
    <n v="2012.75"/>
    <n v="2012.75"/>
  </r>
  <r>
    <s v="2013"/>
    <s v="2013-14"/>
    <s v="Q1: April - June"/>
    <x v="0"/>
    <x v="36"/>
    <n v="5554127"/>
    <n v="5312842"/>
    <n v="241285"/>
    <n v="0.95655752920305925"/>
    <n v="2013"/>
    <n v="2013"/>
  </r>
  <r>
    <s v="2013"/>
    <s v="2013-14"/>
    <s v="Q2: July - Sep"/>
    <x v="1"/>
    <x v="37"/>
    <n v="5525151"/>
    <n v="5319352"/>
    <n v="205799"/>
    <n v="0.96275233020780793"/>
    <n v="2013.25"/>
    <n v="2013.25"/>
  </r>
  <r>
    <s v="2013"/>
    <s v="2013-14"/>
    <s v="Q3: Oct - Dec"/>
    <x v="2"/>
    <x v="38"/>
    <n v="5294269"/>
    <n v="5063777"/>
    <n v="230492"/>
    <n v="0.95646386687189489"/>
    <n v="2013.5"/>
    <n v="2013.5"/>
  </r>
  <r>
    <s v="2013"/>
    <s v="2013-14"/>
    <s v="Q4: Jan - Mar"/>
    <x v="3"/>
    <x v="39"/>
    <n v="5405110"/>
    <n v="5143500"/>
    <n v="261610"/>
    <n v="0.95159950491294354"/>
    <n v="2013.75"/>
    <n v="2013.75"/>
  </r>
  <r>
    <s v="2014"/>
    <s v="2014-15"/>
    <s v="Q1: April - June"/>
    <x v="0"/>
    <x v="40"/>
    <n v="5797900"/>
    <n v="5513339"/>
    <n v="284561"/>
    <n v="0.95091998827161561"/>
    <n v="2014"/>
    <n v="2014"/>
  </r>
  <r>
    <s v="2014"/>
    <s v="2014-15"/>
    <s v="Q2: July - Sep"/>
    <x v="1"/>
    <x v="41"/>
    <n v="5604239"/>
    <n v="5323024"/>
    <n v="281215"/>
    <n v="0.94982101941048558"/>
    <n v="2014.25"/>
    <n v="2014.25"/>
  </r>
  <r>
    <s v="2014"/>
    <s v="2014-15"/>
    <s v="Q3: Oct - Dec"/>
    <x v="2"/>
    <x v="42"/>
    <n v="5573821"/>
    <n v="5159367"/>
    <n v="414454"/>
    <n v="0.92564275027848941"/>
    <n v="2014.5"/>
    <n v="2014.5"/>
  </r>
  <r>
    <s v="2014"/>
    <s v="2014-15"/>
    <s v="Q4: Jan - Mar"/>
    <x v="3"/>
    <x v="43"/>
    <n v="5378821"/>
    <n v="4937913"/>
    <n v="440908"/>
    <n v="0.9180288765883825"/>
    <n v="2014.75"/>
    <n v="2014.75"/>
  </r>
  <r>
    <s v="2015"/>
    <s v="2015-16"/>
    <s v="Q1: April - June"/>
    <x v="0"/>
    <x v="44"/>
    <n v="5712178"/>
    <n v="5375090"/>
    <n v="337088"/>
    <n v="0.94098783336233571"/>
    <n v="2015"/>
    <n v="2015"/>
  </r>
  <r>
    <s v="2015"/>
    <s v="2015-16"/>
    <s v="Q2: July - Sep"/>
    <x v="1"/>
    <x v="45"/>
    <n v="5678013"/>
    <n v="5350952"/>
    <n v="327061"/>
    <n v="0.94239868770994362"/>
    <n v="2015.25"/>
    <n v="2015.25"/>
  </r>
  <r>
    <s v="2015"/>
    <s v="2015-16"/>
    <s v="Q3: Oct - Dec"/>
    <x v="2"/>
    <x v="46"/>
    <n v="5664995"/>
    <n v="5185365"/>
    <n v="479630"/>
    <n v="0.91533443542315573"/>
    <n v="2015.5"/>
    <n v="2015.5"/>
  </r>
  <r>
    <s v="2015"/>
    <s v="2015-16"/>
    <s v="Q4: Jan - Mar"/>
    <x v="3"/>
    <x v="47"/>
    <n v="5865249.42857143"/>
    <n v="5154048.42857143"/>
    <n v="711201"/>
    <n v="0.87874326426161486"/>
    <n v="2015.75"/>
    <n v="2015.75"/>
  </r>
  <r>
    <s v="2016"/>
    <s v="2016-17"/>
    <s v="Q1: April - June"/>
    <x v="0"/>
    <x v="48"/>
    <n v="5896923"/>
    <n v="5324560"/>
    <n v="572363"/>
    <n v="0.90293870209938298"/>
    <n v="2016"/>
    <n v="2016"/>
  </r>
  <r>
    <s v="2016"/>
    <s v="2016-17"/>
    <s v="Q2: July - Sep"/>
    <x v="1"/>
    <x v="49"/>
    <n v="5964399"/>
    <n v="5405410"/>
    <n v="558989"/>
    <n v="0.90627907354957304"/>
    <n v="2016.25"/>
    <n v="2016.25"/>
  </r>
  <r>
    <s v="2016"/>
    <s v="2016-17"/>
    <s v="Q3: Oct- Dec"/>
    <x v="2"/>
    <x v="50"/>
    <n v="5854254"/>
    <n v="5144586"/>
    <n v="709668"/>
    <n v="0.87877738137088002"/>
    <n v="2016.5"/>
    <n v="2016.5"/>
  </r>
  <r>
    <s v="2016"/>
    <s v="2016-17"/>
    <s v="Q4: Jan - Mar"/>
    <x v="3"/>
    <x v="51"/>
    <n v="5646725"/>
    <n v="4947305"/>
    <n v="699420"/>
    <n v="0.87613705289349131"/>
    <n v="2016.75"/>
    <n v="2016.75"/>
  </r>
  <r>
    <s v="2017"/>
    <s v="2017-18"/>
    <s v="Q1: April - June"/>
    <x v="0"/>
    <x v="52"/>
    <n v="6010607"/>
    <n v="5427860"/>
    <n v="582747"/>
    <n v="0.90304689692738194"/>
    <n v="2017"/>
    <n v="2017"/>
  </r>
  <r>
    <s v="2017"/>
    <s v="2017-18"/>
    <s v="Q2: July - Sept"/>
    <x v="1"/>
    <x v="53"/>
    <n v="5924568"/>
    <n v="5338653"/>
    <n v="585915"/>
    <n v="0.90110418177325335"/>
    <n v="2017.25"/>
    <n v="2017.25"/>
  </r>
  <r>
    <s v="2017"/>
    <s v="2017-18"/>
    <s v="Q3: Oct - Dec"/>
    <x v="2"/>
    <x v="54"/>
    <n v="6025062"/>
    <n v="5296485"/>
    <n v="728577"/>
    <n v="0.8790756012137303"/>
    <n v="2017.5"/>
    <n v="2017.5"/>
  </r>
  <r>
    <s v="2017"/>
    <s v="2017-18"/>
    <s v="Q4: Jan - Mar"/>
    <x v="3"/>
    <x v="55"/>
    <n v="5869883"/>
    <n v="4988435"/>
    <n v="881448"/>
    <n v="0.84983550779461869"/>
    <n v="2017.75"/>
    <n v="2017.75"/>
  </r>
  <r>
    <s v="2018"/>
    <s v="2018-19"/>
    <s v="Q1: April - June"/>
    <x v="0"/>
    <x v="56"/>
    <n v="6242769"/>
    <n v="5614585"/>
    <n v="628184"/>
    <n v="0.89937413990490434"/>
    <n v="2018"/>
    <n v="2018"/>
  </r>
  <r>
    <s v="2018"/>
    <s v="2018-19"/>
    <s v="Q2: July - Sept"/>
    <x v="1"/>
    <x v="57"/>
    <n v="6183445"/>
    <n v="5523626"/>
    <n v="659819"/>
    <n v="0.89329265482267572"/>
    <n v="2018.25"/>
    <n v="2018.25"/>
  </r>
  <r>
    <s v="2018"/>
    <s v="2018-19"/>
    <s v="Q3: Oct - Dec"/>
    <x v="2"/>
    <x v="58"/>
    <n v="6164857"/>
    <n v="5406191"/>
    <n v="758666"/>
    <n v="0.87693696706995794"/>
    <n v="2018.5"/>
    <n v="2018.5"/>
  </r>
  <r>
    <s v="2018"/>
    <s v="2018-19"/>
    <s v="Q4: Jan - Mar"/>
    <x v="3"/>
    <x v="59"/>
    <n v="6235911"/>
    <n v="5306577"/>
    <n v="929334"/>
    <n v="0.85097061199237767"/>
    <n v="2018.75"/>
    <n v="2018.75"/>
  </r>
  <r>
    <s v="2019"/>
    <s v="2019-20"/>
    <s v="Q1: April - June"/>
    <x v="0"/>
    <x v="60"/>
    <n v="6392158"/>
    <n v="5130746"/>
    <n v="834228"/>
    <n v="0.86014557649371148"/>
    <n v="2019"/>
    <n v="2019"/>
  </r>
  <r>
    <s v="2019"/>
    <s v="2019-20"/>
    <s v="Q2: July - Sept"/>
    <x v="1"/>
    <x v="61"/>
    <n v="6513830"/>
    <n v="5048167"/>
    <n v="820442"/>
    <n v="0.86019821732884227"/>
    <n v="2019.25"/>
    <n v="2019.25"/>
  </r>
  <r>
    <s v="2019"/>
    <s v="2019-20"/>
    <s v="Q3: Oct - Dec"/>
    <x v="2"/>
    <x v="62"/>
    <n v="6494927"/>
    <n v="4772973"/>
    <n v="1074351"/>
    <n v="0.81626620997912891"/>
    <n v="2019.5"/>
    <n v="2019.5"/>
  </r>
  <r>
    <s v="2019"/>
    <s v="2019-20"/>
    <s v="Q4: Jan - Mar"/>
    <x v="3"/>
    <x v="63"/>
    <n v="5616201"/>
    <n v="4185790"/>
    <n v="870884"/>
    <n v="0.82777533216497645"/>
    <n v="2019.75"/>
    <n v="2019.75"/>
  </r>
  <r>
    <s v="2020"/>
    <s v="2020-21"/>
    <s v="Q1: April - June"/>
    <x v="0"/>
    <x v="64"/>
    <n v="3589014"/>
    <n v="2954190"/>
    <n v="241707"/>
    <n v="0.92436959013384978"/>
    <n v="2020"/>
    <n v="2020"/>
  </r>
  <r>
    <s v="2020"/>
    <s v="2020-21"/>
    <s v="Q2: July - Sept"/>
    <x v="1"/>
    <x v="65"/>
    <n v="5001169"/>
    <n v="3988701"/>
    <n v="471471"/>
    <n v="0.89429309004226742"/>
    <n v="2020.25"/>
    <n v="2020.25"/>
  </r>
  <r>
    <s v="2020"/>
    <s v="2020-21"/>
    <s v="Q3: Oct - Dec"/>
    <x v="2"/>
    <x v="66"/>
    <n v="4559197"/>
    <n v="3352413"/>
    <n v="691609"/>
    <n v="0.82897991158307249"/>
    <n v="2020.5"/>
    <n v="2020.5"/>
  </r>
  <r>
    <s v="2020"/>
    <s v="2020-21"/>
    <s v="Q4: Jan - Mar"/>
    <x v="3"/>
    <x v="67"/>
    <n v="4280179"/>
    <n v="3159238"/>
    <n v="640475"/>
    <n v="0.83144121674452776"/>
    <n v="2020.75"/>
    <n v="2020.75"/>
  </r>
  <r>
    <s v="2021"/>
    <s v="2021-22"/>
    <s v="Q1: April - June"/>
    <x v="0"/>
    <x v="68"/>
    <n v="6098906"/>
    <n v="4520377"/>
    <n v="902667"/>
    <n v="0.83354975545099763"/>
    <n v="2021"/>
    <n v="2021"/>
  </r>
  <r>
    <s v="2021"/>
    <s v="2021-22"/>
    <s v="Q2: July - Sept"/>
    <x v="1"/>
    <x v="69"/>
    <n v="6323299"/>
    <n v="4309209"/>
    <n v="1312490"/>
    <n v="0.76653143471395391"/>
    <n v="2021.25"/>
    <n v="2021.25"/>
  </r>
  <r>
    <s v="2021"/>
    <s v="2021-22"/>
    <s v="Q3: Oct - Dec"/>
    <x v="2"/>
    <x v="70"/>
    <n v="6077399"/>
    <n v="3992720"/>
    <n v="1415869"/>
    <n v="0.73821841519109699"/>
    <n v="2021.5"/>
    <n v="2021.5"/>
  </r>
  <r>
    <s v="2021"/>
    <s v="2021-22"/>
    <s v="Q4: Jan - Mar"/>
    <x v="3"/>
    <x v="71"/>
    <n v="5875363"/>
    <n v="3817195"/>
    <n v="1411164"/>
    <n v="0.73009428005995758"/>
    <n v="2021.75"/>
    <n v="2021.75"/>
  </r>
  <r>
    <s v="2022"/>
    <s v="2022-23"/>
    <s v="Q1: April - June"/>
    <x v="0"/>
    <x v="72"/>
    <n v="6453540"/>
    <n v="4172979"/>
    <n v="1591838"/>
    <n v="0.72387015927825638"/>
    <n v="2022"/>
    <n v="2022"/>
  </r>
  <r>
    <s v="2022"/>
    <s v="2022-23"/>
    <s v="Q2: July - Sept"/>
    <x v="1"/>
    <x v="73"/>
    <n v="6185823"/>
    <n v="3933277"/>
    <n v="1585749"/>
    <n v="0.71267593231124482"/>
    <n v="2022.25"/>
    <n v="2022.25"/>
  </r>
  <r>
    <s v="2022"/>
    <s v="2022-23"/>
    <s v="Q3: Oct - Dec"/>
    <x v="2"/>
    <x v="74"/>
    <n v="6660911"/>
    <n v="4033103"/>
    <n v="1909303"/>
    <n v="0.67869866178783478"/>
    <n v="2022.5"/>
    <n v="2022.5"/>
  </r>
  <r>
    <s v="2022"/>
    <s v="2022-23"/>
    <s v="Q4: Jan - Mar"/>
    <x v="3"/>
    <x v="75"/>
    <n v="6048568"/>
    <n v="3877734"/>
    <n v="1519875"/>
    <n v="0.71841698796633846"/>
    <n v="2022.75"/>
    <n v="2022.75"/>
  </r>
  <r>
    <s v="2023"/>
    <s v="2023-24"/>
    <s v="Q1: April - June"/>
    <x v="0"/>
    <x v="76"/>
    <n v="6505685"/>
    <n v="4300517"/>
    <n v="1493862"/>
    <n v="0.74218773055749376"/>
    <n v="2023"/>
    <n v="2023"/>
  </r>
  <r>
    <s v="2023"/>
    <s v="2023-24"/>
    <s v="Q2: July - Sept"/>
    <x v="1"/>
    <x v="77"/>
    <n v="6479694"/>
    <n v="4725250"/>
    <n v="1754444"/>
    <n v="0.72923968323195509"/>
    <n v="2023.25"/>
    <n v="2023.25"/>
  </r>
  <r>
    <s v="2023"/>
    <s v="2023-24"/>
    <s v="Q3: Oct - Dec"/>
    <x v="2"/>
    <x v="78"/>
    <n v="6576822"/>
    <n v="4596061"/>
    <n v="1980761"/>
    <n v="0.69882703226573561"/>
    <n v="2023.5"/>
    <n v="2023.5"/>
  </r>
  <r>
    <s v="2023"/>
    <s v="2023-24"/>
    <s v="Q4: Jan - Mar"/>
    <x v="3"/>
    <x v="79"/>
    <n v="6758868"/>
    <n v="4863755"/>
    <n v="1895113"/>
    <n v="0.7196108875036471"/>
    <n v="2023.75"/>
    <n v="2023.75"/>
  </r>
  <r>
    <s v="2024"/>
    <s v="2024-25"/>
    <s v="Q1: April - June"/>
    <x v="0"/>
    <x v="80"/>
    <n v="6951025"/>
    <n v="5167199"/>
    <n v="1783826"/>
    <n v="0.74337223646872219"/>
    <n v="2024"/>
    <n v="2024"/>
  </r>
  <r>
    <s v="2024"/>
    <s v="2024-25"/>
    <s v="Q2: July -September"/>
    <x v="1"/>
    <x v="81"/>
    <n v="6699840"/>
    <n v="5041407"/>
    <n v="1658433"/>
    <n v="0.75246677532597794"/>
    <n v="2024.25"/>
    <n v="2024.25"/>
  </r>
  <r>
    <s v="2024"/>
    <s v="2024-25"/>
    <s v="Q3: Oct - Dec"/>
    <x v="2"/>
    <x v="82"/>
    <n v="7021468"/>
    <n v="5064657"/>
    <n v="1956811"/>
    <n v="0.72131027300843642"/>
    <n v="2024.5"/>
    <n v="2024.5"/>
  </r>
  <r>
    <s v="2024"/>
    <s v="2024-25"/>
    <s v="Q4: Jan - Mar"/>
    <x v="3"/>
    <x v="83"/>
    <n v="6695265"/>
    <n v="4944625"/>
    <n v="1750640"/>
    <n v="0.73852565955193705"/>
    <n v="2024.75"/>
    <n v="2024.75"/>
  </r>
  <r>
    <s v="2025"/>
    <s v="2025-26"/>
    <s v="Q1: April - June"/>
    <x v="0"/>
    <x v="84"/>
    <n v="7046531"/>
    <n v="5302665"/>
    <n v="1743866"/>
    <n v="0.75252134702877205"/>
    <n v="2025"/>
    <n v="2025"/>
  </r>
  <r>
    <s v="2025"/>
    <s v="2025-26"/>
    <s v="Q2: July - Sept"/>
    <x v="1"/>
    <x v="85"/>
    <n v="6986025"/>
    <n v="5294459"/>
    <n v="1691566"/>
    <n v="0.75786430767138679"/>
    <n v="2025.25"/>
    <n v="2025.25"/>
  </r>
  <r>
    <s v="2025"/>
    <s v="2025-26"/>
    <s v="Q3: Oct - Dec"/>
    <x v="2"/>
    <x v="86"/>
    <n v="7070576"/>
    <n v="5237013"/>
    <n v="1833563"/>
    <n v="0.74067699717816482"/>
    <n v="2025.5"/>
    <n v="20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50DAF-55D1-4CA4-AFB1-1A173A1F485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1" firstHeaderRow="1" firstDataRow="1" firstDataCol="1"/>
  <pivotFields count="11">
    <pivotField showAll="0"/>
    <pivotField showAll="0"/>
    <pivotField showAll="0"/>
    <pivotField showAll="0"/>
    <pivotField axis="axisRow" showAll="0">
      <items count="88">
        <item x="0"/>
        <item x="4"/>
        <item x="8"/>
        <item x="12"/>
        <item x="16"/>
        <item x="20"/>
        <item x="24"/>
        <item x="28"/>
        <item x="32"/>
        <item x="36"/>
        <item x="40"/>
        <item x="44"/>
        <item x="48"/>
        <item x="52"/>
        <item x="56"/>
        <item x="60"/>
        <item x="64"/>
        <item x="68"/>
        <item x="72"/>
        <item x="76"/>
        <item x="80"/>
        <item x="84"/>
        <item x="1"/>
        <item x="5"/>
        <item x="9"/>
        <item x="13"/>
        <item x="17"/>
        <item x="21"/>
        <item x="25"/>
        <item x="29"/>
        <item x="33"/>
        <item x="37"/>
        <item x="41"/>
        <item x="45"/>
        <item x="49"/>
        <item x="53"/>
        <item x="57"/>
        <item x="61"/>
        <item x="65"/>
        <item x="69"/>
        <item x="73"/>
        <item x="77"/>
        <item x="81"/>
        <item x="85"/>
        <item x="2"/>
        <item x="6"/>
        <item x="10"/>
        <item x="14"/>
        <item x="18"/>
        <item x="22"/>
        <item x="26"/>
        <item x="30"/>
        <item x="34"/>
        <item x="38"/>
        <item x="42"/>
        <item x="46"/>
        <item x="50"/>
        <item x="54"/>
        <item x="58"/>
        <item x="62"/>
        <item x="66"/>
        <item x="70"/>
        <item x="74"/>
        <item x="78"/>
        <item x="82"/>
        <item x="86"/>
        <item x="3"/>
        <item x="7"/>
        <item x="11"/>
        <item x="15"/>
        <item x="19"/>
        <item x="23"/>
        <item x="27"/>
        <item x="31"/>
        <item x="35"/>
        <item x="39"/>
        <item x="43"/>
        <item x="47"/>
        <item x="51"/>
        <item x="55"/>
        <item x="59"/>
        <item x="63"/>
        <item x="67"/>
        <item x="71"/>
        <item x="75"/>
        <item x="79"/>
        <item x="83"/>
        <item t="default"/>
      </items>
    </pivotField>
    <pivotField dataField="1" numFmtId="3" showAll="0"/>
    <pivotField numFmtId="3" showAll="0"/>
    <pivotField numFmtId="3" showAll="0"/>
    <pivotField numFmtId="164" showAll="0"/>
    <pivotField showAll="0"/>
    <pivotField numFmtId="3" showAll="0"/>
  </pivotFields>
  <rowFields count="1">
    <field x="4"/>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Sum of Total attendances" fld="5"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60AAE-B1E6-4397-90AA-36BF0E30023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C91" firstHeaderRow="0" firstDataRow="1" firstDataCol="1"/>
  <pivotFields count="11">
    <pivotField showAll="0"/>
    <pivotField showAll="0"/>
    <pivotField showAll="0"/>
    <pivotField showAll="0">
      <items count="5">
        <item x="0"/>
        <item x="1"/>
        <item x="2"/>
        <item x="3"/>
        <item t="default"/>
      </items>
    </pivotField>
    <pivotField axis="axisRow" showAll="0">
      <items count="88">
        <item x="0"/>
        <item x="4"/>
        <item x="8"/>
        <item x="12"/>
        <item x="16"/>
        <item x="20"/>
        <item x="24"/>
        <item x="28"/>
        <item x="32"/>
        <item x="36"/>
        <item x="40"/>
        <item x="44"/>
        <item x="48"/>
        <item x="52"/>
        <item x="56"/>
        <item x="60"/>
        <item x="64"/>
        <item x="68"/>
        <item x="72"/>
        <item x="76"/>
        <item x="80"/>
        <item x="84"/>
        <item x="1"/>
        <item x="5"/>
        <item x="9"/>
        <item x="13"/>
        <item x="17"/>
        <item x="21"/>
        <item x="25"/>
        <item x="29"/>
        <item x="33"/>
        <item x="37"/>
        <item x="41"/>
        <item x="45"/>
        <item x="49"/>
        <item x="53"/>
        <item x="57"/>
        <item x="61"/>
        <item x="65"/>
        <item x="69"/>
        <item x="73"/>
        <item x="77"/>
        <item x="81"/>
        <item x="85"/>
        <item x="2"/>
        <item x="6"/>
        <item x="10"/>
        <item x="14"/>
        <item x="18"/>
        <item x="22"/>
        <item x="26"/>
        <item x="30"/>
        <item x="34"/>
        <item x="38"/>
        <item x="42"/>
        <item x="46"/>
        <item x="50"/>
        <item x="54"/>
        <item x="58"/>
        <item x="62"/>
        <item x="66"/>
        <item x="70"/>
        <item x="74"/>
        <item x="78"/>
        <item x="82"/>
        <item x="86"/>
        <item x="3"/>
        <item x="7"/>
        <item x="11"/>
        <item x="15"/>
        <item x="19"/>
        <item x="23"/>
        <item x="27"/>
        <item x="31"/>
        <item x="35"/>
        <item x="39"/>
        <item x="43"/>
        <item x="47"/>
        <item x="51"/>
        <item x="55"/>
        <item x="59"/>
        <item x="63"/>
        <item x="67"/>
        <item x="71"/>
        <item x="75"/>
        <item x="79"/>
        <item x="83"/>
        <item t="default"/>
      </items>
    </pivotField>
    <pivotField numFmtId="3" showAll="0"/>
    <pivotField numFmtId="3" showAll="0"/>
    <pivotField dataField="1" numFmtId="3" showAll="0"/>
    <pivotField dataField="1" numFmtId="164" showAll="0"/>
    <pivotField showAll="0"/>
    <pivotField numFmtId="3" showAll="0"/>
  </pivotFields>
  <rowFields count="1">
    <field x="4"/>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2"/>
  </colFields>
  <colItems count="2">
    <i>
      <x/>
    </i>
    <i i="1">
      <x v="1"/>
    </i>
  </colItems>
  <dataFields count="2">
    <dataField name="Average of Percentage in 4 hours or less (all)" fld="8" subtotal="average" baseField="4" baseItem="0" numFmtId="164"/>
    <dataField name="Sum of Total Attendances &gt; 4 hours" fld="7"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65237-EFEF-4666-9110-D57D5E9AACDF}"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9" firstHeaderRow="1" firstDataRow="1" firstDataCol="1"/>
  <pivotFields count="11">
    <pivotField showAll="0"/>
    <pivotField showAll="0"/>
    <pivotField showAll="0"/>
    <pivotField showAll="0">
      <items count="5">
        <item x="0"/>
        <item x="1"/>
        <item x="2"/>
        <item x="3"/>
        <item t="default"/>
      </items>
    </pivotField>
    <pivotField axis="axisRow" showAll="0">
      <items count="88">
        <item x="0"/>
        <item x="4"/>
        <item x="8"/>
        <item x="12"/>
        <item x="16"/>
        <item x="20"/>
        <item x="24"/>
        <item x="28"/>
        <item x="32"/>
        <item x="36"/>
        <item x="40"/>
        <item x="44"/>
        <item x="48"/>
        <item x="52"/>
        <item x="56"/>
        <item x="60"/>
        <item x="64"/>
        <item x="68"/>
        <item x="72"/>
        <item x="76"/>
        <item x="80"/>
        <item x="84"/>
        <item x="1"/>
        <item x="5"/>
        <item x="9"/>
        <item x="13"/>
        <item x="17"/>
        <item x="21"/>
        <item x="25"/>
        <item x="29"/>
        <item x="33"/>
        <item x="37"/>
        <item x="41"/>
        <item x="45"/>
        <item x="49"/>
        <item x="53"/>
        <item x="57"/>
        <item x="61"/>
        <item x="65"/>
        <item x="69"/>
        <item x="73"/>
        <item x="77"/>
        <item x="81"/>
        <item x="85"/>
        <item x="2"/>
        <item x="6"/>
        <item x="10"/>
        <item x="14"/>
        <item x="18"/>
        <item x="22"/>
        <item x="26"/>
        <item x="30"/>
        <item x="34"/>
        <item x="38"/>
        <item x="42"/>
        <item x="46"/>
        <item x="50"/>
        <item x="54"/>
        <item x="58"/>
        <item x="62"/>
        <item x="66"/>
        <item x="70"/>
        <item x="74"/>
        <item x="78"/>
        <item x="82"/>
        <item x="86"/>
        <item x="3"/>
        <item x="7"/>
        <item x="11"/>
        <item x="15"/>
        <item x="19"/>
        <item x="23"/>
        <item x="27"/>
        <item x="31"/>
        <item x="35"/>
        <item x="39"/>
        <item x="43"/>
        <item x="47"/>
        <item x="51"/>
        <item x="55"/>
        <item x="59"/>
        <item x="63"/>
        <item x="67"/>
        <item x="71"/>
        <item x="75"/>
        <item x="79"/>
        <item x="83"/>
        <item t="default"/>
      </items>
    </pivotField>
    <pivotField numFmtId="3" showAll="0"/>
    <pivotField numFmtId="3" showAll="0"/>
    <pivotField numFmtId="3" showAll="0"/>
    <pivotField dataField="1" numFmtId="164" showAll="0"/>
    <pivotField showAll="0"/>
    <pivotField numFmtId="3" showAll="0"/>
  </pivotFields>
  <rowFields count="1">
    <field x="4"/>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Average of Percentage in 4 hours or less (all)" fld="8" subtotal="average" baseField="4" baseItem="2" numFmtId="164"/>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___Year" xr10:uid="{69B4719D-7C2B-48CE-A7D3-DA8805A887CA}" sourceName="Quarter &amp; Year">
  <pivotTables>
    <pivotTable tabId="10" name="PivotTable3"/>
    <pivotTable tabId="9" name="PivotTable2"/>
    <pivotTable tabId="11" name="PivotTable4"/>
  </pivotTables>
  <data>
    <tabular pivotCacheId="1273226109">
      <items count="87">
        <i x="0" s="1"/>
        <i x="4" s="1"/>
        <i x="8" s="1"/>
        <i x="12" s="1"/>
        <i x="16" s="1"/>
        <i x="20" s="1"/>
        <i x="24" s="1"/>
        <i x="28" s="1"/>
        <i x="32" s="1"/>
        <i x="36" s="1"/>
        <i x="40" s="1"/>
        <i x="44" s="1"/>
        <i x="48" s="1"/>
        <i x="52" s="1"/>
        <i x="56" s="1"/>
        <i x="60" s="1"/>
        <i x="64" s="1"/>
        <i x="68" s="1"/>
        <i x="72" s="1"/>
        <i x="76" s="1"/>
        <i x="80" s="1"/>
        <i x="84" s="1"/>
        <i x="1" s="1"/>
        <i x="5" s="1"/>
        <i x="9" s="1"/>
        <i x="13" s="1"/>
        <i x="17" s="1"/>
        <i x="21" s="1"/>
        <i x="25" s="1"/>
        <i x="29" s="1"/>
        <i x="33" s="1"/>
        <i x="37" s="1"/>
        <i x="41" s="1"/>
        <i x="45" s="1"/>
        <i x="49" s="1"/>
        <i x="53" s="1"/>
        <i x="57" s="1"/>
        <i x="61" s="1"/>
        <i x="65" s="1"/>
        <i x="69" s="1"/>
        <i x="73" s="1"/>
        <i x="77" s="1"/>
        <i x="81" s="1"/>
        <i x="85" s="1"/>
        <i x="2" s="1"/>
        <i x="6" s="1"/>
        <i x="10" s="1"/>
        <i x="14" s="1"/>
        <i x="18" s="1"/>
        <i x="22" s="1"/>
        <i x="26" s="1"/>
        <i x="30" s="1"/>
        <i x="34" s="1"/>
        <i x="38" s="1"/>
        <i x="42" s="1"/>
        <i x="46" s="1"/>
        <i x="50" s="1"/>
        <i x="54" s="1"/>
        <i x="58" s="1"/>
        <i x="62" s="1"/>
        <i x="66" s="1"/>
        <i x="70" s="1"/>
        <i x="74" s="1"/>
        <i x="78" s="1"/>
        <i x="82" s="1"/>
        <i x="86" s="1"/>
        <i x="3" s="1"/>
        <i x="7" s="1"/>
        <i x="11" s="1"/>
        <i x="15" s="1"/>
        <i x="19" s="1"/>
        <i x="23" s="1"/>
        <i x="27" s="1"/>
        <i x="31" s="1"/>
        <i x="35" s="1"/>
        <i x="39" s="1"/>
        <i x="43" s="1"/>
        <i x="47" s="1"/>
        <i x="51" s="1"/>
        <i x="55" s="1"/>
        <i x="59" s="1"/>
        <i x="63" s="1"/>
        <i x="67" s="1"/>
        <i x="71" s="1"/>
        <i x="75" s="1"/>
        <i x="79" s="1"/>
        <i x="8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amp; Year" xr10:uid="{04B658F0-DAB2-4375-B5D6-A13628B47E10}" cache="Slicer_Quarter___Year" caption="Quarter &amp; Year" startItem="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376E7F-3CA7-40A6-8001-D1864389C2EF}" name="Table2" displayName="Table2" ref="A3:K4" totalsRowShown="0">
  <autoFilter ref="A3:K4" xr:uid="{B0376E7F-3CA7-40A6-8001-D1864389C2EF}"/>
  <tableColumns count="11">
    <tableColumn id="1" xr3:uid="{B82689BE-0B23-4EAC-BB53-0BF4D1AAB57F}" name="Year"/>
    <tableColumn id="2" xr3:uid="{E8AEA2F8-C4CB-45D1-833C-83C5DC486038}" name="Years"/>
    <tableColumn id="3" xr3:uid="{6B1302E4-D811-4222-9BAC-AAB8B340D363}" name="Quarter"/>
    <tableColumn id="4" xr3:uid="{06A66E84-15A5-4B8A-93DC-A1B4184B76E2}" name="Quarter Code "/>
    <tableColumn id="5" xr3:uid="{B3ADD0E6-374E-4D25-82A0-2C403988015F}" name="Quarter &amp; Year"/>
    <tableColumn id="6" xr3:uid="{30B22186-33D4-451D-B511-92BFCAD79EFB}" name="Total attendances"/>
    <tableColumn id="7" xr3:uid="{A6C86B83-746F-4230-B0D5-F199BB682096}" name="Total Attendances &lt; 4 hours"/>
    <tableColumn id="8" xr3:uid="{1006BAA1-53EA-483D-8EE9-D1BF334494F5}" name="Total Attendances &gt; 4 hours"/>
    <tableColumn id="9" xr3:uid="{EA46B58F-0244-414E-A276-EC9FE6D7DBD8}" name="Percentage in 4 hours or less (all)"/>
    <tableColumn id="10" xr3:uid="{E9648FAA-3B92-4B06-8432-B680D40DAA2C}" name="year2"/>
    <tableColumn id="11" xr3:uid="{04941C0D-E496-4E30-A90E-9EE004BA8622}" name="Sort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68D21B-2B71-4558-A8F5-385A4690A255}" name="AandE_Data" displayName="AandE_Data" ref="A1:L88" totalsRowShown="0" headerRowDxfId="12" dataDxfId="11">
  <autoFilter ref="A1:L88" xr:uid="{3C68D21B-2B71-4558-A8F5-385A4690A255}"/>
  <tableColumns count="12">
    <tableColumn id="1" xr3:uid="{16E17CA0-0908-4885-A9FF-747142573607}" name="Year" dataDxfId="10">
      <calculatedColumnFormula>LEFT(B2, 4)</calculatedColumnFormula>
    </tableColumn>
    <tableColumn id="2" xr3:uid="{E194490D-3D56-45F2-B958-546D00CBAE9F}" name="Years" dataDxfId="9"/>
    <tableColumn id="3" xr3:uid="{C672092F-9DB9-4887-B720-BAE597240ECE}" name="Quarter" dataDxfId="8"/>
    <tableColumn id="4" xr3:uid="{92F647C9-22CD-476E-9551-24CC6A5FAE60}" name="Quarter Code " dataDxfId="7">
      <calculatedColumnFormula>LEFT(C2,2)</calculatedColumnFormula>
    </tableColumn>
    <tableColumn id="5" xr3:uid="{8C65495D-0B8A-4346-B492-35C6B9AE6F60}" name="Quarter &amp; Year" dataDxfId="6">
      <calculatedColumnFormula>D2 &amp;" "&amp; B2</calculatedColumnFormula>
    </tableColumn>
    <tableColumn id="6" xr3:uid="{8849854E-24B3-4256-918F-6E8757A1EDF4}" name="Total attendances" dataDxfId="5"/>
    <tableColumn id="7" xr3:uid="{0BA4D068-3D3A-4DFC-9EC7-CC5F7BDA9432}" name="Total Attendances &lt; 4 hours" dataDxfId="4"/>
    <tableColumn id="8" xr3:uid="{A985211A-6AC0-4273-A033-ECB920212EDE}" name="Total Attendances &gt; 4 hours" dataDxfId="3"/>
    <tableColumn id="9" xr3:uid="{093C5C21-D822-4613-B7ED-E0F2689ED3F0}" name="Percentage in 4 hours or less (all)" dataDxfId="2" dataCellStyle="Percent"/>
    <tableColumn id="10" xr3:uid="{85000D68-B243-4562-948B-CBF912EAD059}" name="year2">
      <calculatedColumnFormula>VALUE(MID(E2,4,4)) + (MID(E2,2,1)-1)/4</calculatedColumnFormula>
    </tableColumn>
    <tableColumn id="11" xr3:uid="{4AFDF008-5D8E-4F21-B88C-EE6969758A28}" name="Sortkey" dataDxfId="1">
      <calculatedColumnFormula>(VALUE(MID(AandE_Data[[#This Row],[Quarter &amp; Year]],4,4)) + (MID(AandE_Data[[#This Row],[Quarter &amp; Year]],2,1)-1)/4)</calculatedColumnFormula>
    </tableColumn>
    <tableColumn id="12" xr3:uid="{A86DF0D9-4C7E-41D6-9197-02E8624E978D}" name="Tar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FB311-637E-46C0-86F0-EFAFFB4891EA}">
  <dimension ref="A1:T8"/>
  <sheetViews>
    <sheetView tabSelected="1" zoomScale="80" zoomScaleNormal="80" workbookViewId="0">
      <selection sqref="A1:T1"/>
    </sheetView>
  </sheetViews>
  <sheetFormatPr defaultRowHeight="15" x14ac:dyDescent="0.25"/>
  <cols>
    <col min="1" max="1" width="36.140625" style="38" customWidth="1"/>
    <col min="2" max="2" width="5.5703125" style="38" hidden="1" customWidth="1"/>
    <col min="3" max="3" width="18" style="38" hidden="1" customWidth="1"/>
    <col min="4" max="4" width="35.140625" style="38" customWidth="1"/>
    <col min="5" max="5" width="16.85546875" style="38" customWidth="1"/>
    <col min="6" max="6" width="18" style="38" customWidth="1"/>
    <col min="7" max="8" width="9.140625" style="38"/>
    <col min="9" max="9" width="14" style="38" customWidth="1"/>
    <col min="10" max="16384" width="9.140625" style="38"/>
  </cols>
  <sheetData>
    <row r="1" spans="1:20" ht="26.25" x14ac:dyDescent="0.25">
      <c r="A1" s="48" t="s">
        <v>142</v>
      </c>
      <c r="B1" s="48"/>
      <c r="C1" s="48"/>
      <c r="D1" s="48"/>
      <c r="E1" s="48"/>
      <c r="F1" s="48"/>
      <c r="G1" s="48"/>
      <c r="H1" s="48"/>
      <c r="I1" s="48"/>
      <c r="J1" s="48"/>
      <c r="K1" s="48"/>
      <c r="L1" s="48"/>
      <c r="M1" s="48"/>
      <c r="N1" s="48"/>
      <c r="O1" s="48"/>
      <c r="P1" s="48"/>
      <c r="Q1" s="48"/>
      <c r="R1" s="48"/>
      <c r="S1" s="48"/>
      <c r="T1" s="48"/>
    </row>
    <row r="2" spans="1:20" ht="21" customHeight="1" x14ac:dyDescent="0.35">
      <c r="D2" s="39" t="s">
        <v>45</v>
      </c>
      <c r="E2" s="39" t="s">
        <v>46</v>
      </c>
      <c r="K2" s="51"/>
      <c r="L2" s="52"/>
    </row>
    <row r="3" spans="1:20" ht="21" customHeight="1" x14ac:dyDescent="0.35">
      <c r="A3" s="39" t="s">
        <v>44</v>
      </c>
      <c r="D3" s="39" t="str">
        <f>_xlfn.XLOOKUP(MAX(AandE_Data[Sortkey]), AandE_Data[Sortkey], AandE_Data[Quarter &amp; Year])</f>
        <v>Q3 2025-26</v>
      </c>
      <c r="E3" s="40">
        <f>_xlfn.XLOOKUP(MAX(AandE_Data[Sortkey]), AandE_Data[Sortkey], AandE_Data[Percentage in 4 hours or less (all)])</f>
        <v>0.74067699717816482</v>
      </c>
      <c r="G3" s="49" t="s">
        <v>141</v>
      </c>
      <c r="H3" s="49"/>
      <c r="I3" s="49"/>
      <c r="J3" s="53" t="s">
        <v>137</v>
      </c>
      <c r="K3" s="54"/>
    </row>
    <row r="4" spans="1:20" ht="21" customHeight="1" x14ac:dyDescent="0.35">
      <c r="A4" s="39" t="s">
        <v>136</v>
      </c>
      <c r="D4" s="39" t="str">
        <f>_xlfn.XLOOKUP(LARGE(AandE_Data[Sortkey],2), AandE_Data[Sortkey], AandE_Data[Quarter &amp; Year])</f>
        <v>Q2 2025-26</v>
      </c>
      <c r="E4" s="40">
        <f>_xlfn.XLOOKUP(LARGE(AandE_Data[Sortkey],2), AandE_Data[Sortkey], AandE_Data[Percentage in 4 hours or less (all)])</f>
        <v>0.75786430767138679</v>
      </c>
      <c r="G4" s="50" t="s">
        <v>138</v>
      </c>
      <c r="H4" s="50"/>
      <c r="I4" s="50"/>
      <c r="J4" s="50" t="s">
        <v>139</v>
      </c>
      <c r="K4" s="50"/>
    </row>
    <row r="5" spans="1:20" ht="21" customHeight="1" x14ac:dyDescent="0.35">
      <c r="A5" s="39" t="s">
        <v>140</v>
      </c>
      <c r="E5" s="41">
        <f>E3-E4</f>
        <v>-1.7187310493221974E-2</v>
      </c>
    </row>
    <row r="6" spans="1:20" ht="15.75" x14ac:dyDescent="0.25">
      <c r="B6" s="42"/>
      <c r="C6" s="43"/>
    </row>
    <row r="7" spans="1:20" s="47" customFormat="1" ht="21" x14ac:dyDescent="0.35">
      <c r="A7" s="44"/>
      <c r="B7" s="45"/>
      <c r="C7" s="46"/>
    </row>
    <row r="8" spans="1:20" s="47" customFormat="1" ht="21" x14ac:dyDescent="0.35"/>
  </sheetData>
  <mergeCells count="5">
    <mergeCell ref="A1:T1"/>
    <mergeCell ref="G4:I4"/>
    <mergeCell ref="G3:I3"/>
    <mergeCell ref="J3:K3"/>
    <mergeCell ref="J4: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425F-C1DC-4C94-B117-C04878C5F4C3}">
  <dimension ref="A3:B91"/>
  <sheetViews>
    <sheetView workbookViewId="0">
      <selection activeCell="A3" sqref="A3"/>
    </sheetView>
  </sheetViews>
  <sheetFormatPr defaultRowHeight="15" x14ac:dyDescent="0.25"/>
  <cols>
    <col min="1" max="1" width="13.42578125" bestFit="1" customWidth="1"/>
    <col min="2" max="2" width="24.140625" bestFit="1" customWidth="1"/>
  </cols>
  <sheetData>
    <row r="3" spans="1:2" x14ac:dyDescent="0.25">
      <c r="A3" s="19" t="s">
        <v>37</v>
      </c>
      <c r="B3" t="s">
        <v>40</v>
      </c>
    </row>
    <row r="4" spans="1:2" x14ac:dyDescent="0.25">
      <c r="A4" s="20" t="s">
        <v>48</v>
      </c>
      <c r="B4" s="32">
        <v>4502578</v>
      </c>
    </row>
    <row r="5" spans="1:2" x14ac:dyDescent="0.25">
      <c r="A5" s="20" t="s">
        <v>49</v>
      </c>
      <c r="B5" s="32">
        <v>4859578</v>
      </c>
    </row>
    <row r="6" spans="1:2" x14ac:dyDescent="0.25">
      <c r="A6" s="20" t="s">
        <v>50</v>
      </c>
      <c r="B6" s="32">
        <v>4891724</v>
      </c>
    </row>
    <row r="7" spans="1:2" x14ac:dyDescent="0.25">
      <c r="A7" s="20" t="s">
        <v>51</v>
      </c>
      <c r="B7" s="32">
        <v>4924326</v>
      </c>
    </row>
    <row r="8" spans="1:2" x14ac:dyDescent="0.25">
      <c r="A8" s="20" t="s">
        <v>52</v>
      </c>
      <c r="B8" s="32">
        <v>4987454</v>
      </c>
    </row>
    <row r="9" spans="1:2" x14ac:dyDescent="0.25">
      <c r="A9" s="20" t="s">
        <v>53</v>
      </c>
      <c r="B9" s="32">
        <v>5291643</v>
      </c>
    </row>
    <row r="10" spans="1:2" x14ac:dyDescent="0.25">
      <c r="A10" s="20" t="s">
        <v>54</v>
      </c>
      <c r="B10" s="32">
        <v>5523833</v>
      </c>
    </row>
    <row r="11" spans="1:2" x14ac:dyDescent="0.25">
      <c r="A11" s="20" t="s">
        <v>55</v>
      </c>
      <c r="B11" s="32">
        <v>5501737</v>
      </c>
    </row>
    <row r="12" spans="1:2" x14ac:dyDescent="0.25">
      <c r="A12" s="20" t="s">
        <v>56</v>
      </c>
      <c r="B12" s="32">
        <v>5587707</v>
      </c>
    </row>
    <row r="13" spans="1:2" x14ac:dyDescent="0.25">
      <c r="A13" s="20" t="s">
        <v>57</v>
      </c>
      <c r="B13" s="32">
        <v>5554127</v>
      </c>
    </row>
    <row r="14" spans="1:2" x14ac:dyDescent="0.25">
      <c r="A14" s="20" t="s">
        <v>58</v>
      </c>
      <c r="B14" s="32">
        <v>5797900</v>
      </c>
    </row>
    <row r="15" spans="1:2" x14ac:dyDescent="0.25">
      <c r="A15" s="20" t="s">
        <v>59</v>
      </c>
      <c r="B15" s="32">
        <v>5712178</v>
      </c>
    </row>
    <row r="16" spans="1:2" x14ac:dyDescent="0.25">
      <c r="A16" s="20" t="s">
        <v>60</v>
      </c>
      <c r="B16" s="32">
        <v>5896923</v>
      </c>
    </row>
    <row r="17" spans="1:2" x14ac:dyDescent="0.25">
      <c r="A17" s="20" t="s">
        <v>61</v>
      </c>
      <c r="B17" s="32">
        <v>6010607</v>
      </c>
    </row>
    <row r="18" spans="1:2" x14ac:dyDescent="0.25">
      <c r="A18" s="20" t="s">
        <v>62</v>
      </c>
      <c r="B18" s="32">
        <v>6242769</v>
      </c>
    </row>
    <row r="19" spans="1:2" x14ac:dyDescent="0.25">
      <c r="A19" s="20" t="s">
        <v>63</v>
      </c>
      <c r="B19" s="32">
        <v>6392158</v>
      </c>
    </row>
    <row r="20" spans="1:2" x14ac:dyDescent="0.25">
      <c r="A20" s="20" t="s">
        <v>64</v>
      </c>
      <c r="B20" s="32">
        <v>3589014</v>
      </c>
    </row>
    <row r="21" spans="1:2" x14ac:dyDescent="0.25">
      <c r="A21" s="20" t="s">
        <v>65</v>
      </c>
      <c r="B21" s="32">
        <v>6098906</v>
      </c>
    </row>
    <row r="22" spans="1:2" x14ac:dyDescent="0.25">
      <c r="A22" s="20" t="s">
        <v>66</v>
      </c>
      <c r="B22" s="32">
        <v>6453540</v>
      </c>
    </row>
    <row r="23" spans="1:2" x14ac:dyDescent="0.25">
      <c r="A23" s="20" t="s">
        <v>67</v>
      </c>
      <c r="B23" s="32">
        <v>6505685</v>
      </c>
    </row>
    <row r="24" spans="1:2" x14ac:dyDescent="0.25">
      <c r="A24" s="20" t="s">
        <v>68</v>
      </c>
      <c r="B24" s="32">
        <v>6951025</v>
      </c>
    </row>
    <row r="25" spans="1:2" x14ac:dyDescent="0.25">
      <c r="A25" s="20" t="s">
        <v>69</v>
      </c>
      <c r="B25" s="32">
        <v>7046531</v>
      </c>
    </row>
    <row r="26" spans="1:2" x14ac:dyDescent="0.25">
      <c r="A26" s="20" t="s">
        <v>70</v>
      </c>
      <c r="B26" s="32">
        <v>4556695</v>
      </c>
    </row>
    <row r="27" spans="1:2" x14ac:dyDescent="0.25">
      <c r="A27" s="20" t="s">
        <v>71</v>
      </c>
      <c r="B27" s="32">
        <v>4744255</v>
      </c>
    </row>
    <row r="28" spans="1:2" x14ac:dyDescent="0.25">
      <c r="A28" s="20" t="s">
        <v>72</v>
      </c>
      <c r="B28" s="32">
        <v>4892182</v>
      </c>
    </row>
    <row r="29" spans="1:2" x14ac:dyDescent="0.25">
      <c r="A29" s="20" t="s">
        <v>73</v>
      </c>
      <c r="B29" s="32">
        <v>4847670</v>
      </c>
    </row>
    <row r="30" spans="1:2" x14ac:dyDescent="0.25">
      <c r="A30" s="20" t="s">
        <v>74</v>
      </c>
      <c r="B30" s="32">
        <v>4930216</v>
      </c>
    </row>
    <row r="31" spans="1:2" x14ac:dyDescent="0.25">
      <c r="A31" s="20" t="s">
        <v>75</v>
      </c>
      <c r="B31" s="32">
        <v>5180582</v>
      </c>
    </row>
    <row r="32" spans="1:2" x14ac:dyDescent="0.25">
      <c r="A32" s="20" t="s">
        <v>76</v>
      </c>
      <c r="B32" s="32">
        <v>5375808</v>
      </c>
    </row>
    <row r="33" spans="1:2" x14ac:dyDescent="0.25">
      <c r="A33" s="20" t="s">
        <v>77</v>
      </c>
      <c r="B33" s="32">
        <v>5344832</v>
      </c>
    </row>
    <row r="34" spans="1:2" x14ac:dyDescent="0.25">
      <c r="A34" s="20" t="s">
        <v>78</v>
      </c>
      <c r="B34" s="32">
        <v>5493644</v>
      </c>
    </row>
    <row r="35" spans="1:2" x14ac:dyDescent="0.25">
      <c r="A35" s="20" t="s">
        <v>79</v>
      </c>
      <c r="B35" s="32">
        <v>5525151</v>
      </c>
    </row>
    <row r="36" spans="1:2" x14ac:dyDescent="0.25">
      <c r="A36" s="20" t="s">
        <v>80</v>
      </c>
      <c r="B36" s="32">
        <v>5604239</v>
      </c>
    </row>
    <row r="37" spans="1:2" x14ac:dyDescent="0.25">
      <c r="A37" s="20" t="s">
        <v>81</v>
      </c>
      <c r="B37" s="32">
        <v>5678013</v>
      </c>
    </row>
    <row r="38" spans="1:2" x14ac:dyDescent="0.25">
      <c r="A38" s="20" t="s">
        <v>82</v>
      </c>
      <c r="B38" s="32">
        <v>5964399</v>
      </c>
    </row>
    <row r="39" spans="1:2" x14ac:dyDescent="0.25">
      <c r="A39" s="20" t="s">
        <v>83</v>
      </c>
      <c r="B39" s="32">
        <v>5924568</v>
      </c>
    </row>
    <row r="40" spans="1:2" x14ac:dyDescent="0.25">
      <c r="A40" s="20" t="s">
        <v>84</v>
      </c>
      <c r="B40" s="32">
        <v>6183445</v>
      </c>
    </row>
    <row r="41" spans="1:2" x14ac:dyDescent="0.25">
      <c r="A41" s="20" t="s">
        <v>85</v>
      </c>
      <c r="B41" s="32">
        <v>6513830</v>
      </c>
    </row>
    <row r="42" spans="1:2" x14ac:dyDescent="0.25">
      <c r="A42" s="20" t="s">
        <v>86</v>
      </c>
      <c r="B42" s="32">
        <v>5001169</v>
      </c>
    </row>
    <row r="43" spans="1:2" x14ac:dyDescent="0.25">
      <c r="A43" s="20" t="s">
        <v>87</v>
      </c>
      <c r="B43" s="32">
        <v>6323299</v>
      </c>
    </row>
    <row r="44" spans="1:2" x14ac:dyDescent="0.25">
      <c r="A44" s="20" t="s">
        <v>88</v>
      </c>
      <c r="B44" s="32">
        <v>6185823</v>
      </c>
    </row>
    <row r="45" spans="1:2" x14ac:dyDescent="0.25">
      <c r="A45" s="20" t="s">
        <v>89</v>
      </c>
      <c r="B45" s="32">
        <v>6479694</v>
      </c>
    </row>
    <row r="46" spans="1:2" x14ac:dyDescent="0.25">
      <c r="A46" s="20" t="s">
        <v>90</v>
      </c>
      <c r="B46" s="32">
        <v>6699840</v>
      </c>
    </row>
    <row r="47" spans="1:2" x14ac:dyDescent="0.25">
      <c r="A47" s="20" t="s">
        <v>91</v>
      </c>
      <c r="B47" s="32">
        <v>6986025</v>
      </c>
    </row>
    <row r="48" spans="1:2" x14ac:dyDescent="0.25">
      <c r="A48" s="20" t="s">
        <v>92</v>
      </c>
      <c r="B48" s="32">
        <v>4374927</v>
      </c>
    </row>
    <row r="49" spans="1:2" x14ac:dyDescent="0.25">
      <c r="A49" s="20" t="s">
        <v>93</v>
      </c>
      <c r="B49" s="32">
        <v>4605971</v>
      </c>
    </row>
    <row r="50" spans="1:2" x14ac:dyDescent="0.25">
      <c r="A50" s="20" t="s">
        <v>94</v>
      </c>
      <c r="B50" s="32">
        <v>4559139</v>
      </c>
    </row>
    <row r="51" spans="1:2" x14ac:dyDescent="0.25">
      <c r="A51" s="20" t="s">
        <v>95</v>
      </c>
      <c r="B51" s="32">
        <v>4698115</v>
      </c>
    </row>
    <row r="52" spans="1:2" x14ac:dyDescent="0.25">
      <c r="A52" s="20" t="s">
        <v>96</v>
      </c>
      <c r="B52" s="32">
        <v>4865130</v>
      </c>
    </row>
    <row r="53" spans="1:2" x14ac:dyDescent="0.25">
      <c r="A53" s="20" t="s">
        <v>97</v>
      </c>
      <c r="B53" s="32">
        <v>5126374</v>
      </c>
    </row>
    <row r="54" spans="1:2" x14ac:dyDescent="0.25">
      <c r="A54" s="20" t="s">
        <v>98</v>
      </c>
      <c r="B54" s="32">
        <v>5250720</v>
      </c>
    </row>
    <row r="55" spans="1:2" x14ac:dyDescent="0.25">
      <c r="A55" s="20" t="s">
        <v>99</v>
      </c>
      <c r="B55" s="32">
        <v>5253575</v>
      </c>
    </row>
    <row r="56" spans="1:2" x14ac:dyDescent="0.25">
      <c r="A56" s="20" t="s">
        <v>100</v>
      </c>
      <c r="B56" s="32">
        <v>5351447</v>
      </c>
    </row>
    <row r="57" spans="1:2" x14ac:dyDescent="0.25">
      <c r="A57" s="20" t="s">
        <v>101</v>
      </c>
      <c r="B57" s="32">
        <v>5294269</v>
      </c>
    </row>
    <row r="58" spans="1:2" x14ac:dyDescent="0.25">
      <c r="A58" s="20" t="s">
        <v>102</v>
      </c>
      <c r="B58" s="32">
        <v>5573821</v>
      </c>
    </row>
    <row r="59" spans="1:2" x14ac:dyDescent="0.25">
      <c r="A59" s="20" t="s">
        <v>103</v>
      </c>
      <c r="B59" s="32">
        <v>5664995</v>
      </c>
    </row>
    <row r="60" spans="1:2" x14ac:dyDescent="0.25">
      <c r="A60" s="20" t="s">
        <v>104</v>
      </c>
      <c r="B60" s="32">
        <v>5854254</v>
      </c>
    </row>
    <row r="61" spans="1:2" x14ac:dyDescent="0.25">
      <c r="A61" s="20" t="s">
        <v>105</v>
      </c>
      <c r="B61" s="32">
        <v>6025062</v>
      </c>
    </row>
    <row r="62" spans="1:2" x14ac:dyDescent="0.25">
      <c r="A62" s="20" t="s">
        <v>106</v>
      </c>
      <c r="B62" s="32">
        <v>6164857</v>
      </c>
    </row>
    <row r="63" spans="1:2" x14ac:dyDescent="0.25">
      <c r="A63" s="20" t="s">
        <v>107</v>
      </c>
      <c r="B63" s="32">
        <v>6494927</v>
      </c>
    </row>
    <row r="64" spans="1:2" x14ac:dyDescent="0.25">
      <c r="A64" s="20" t="s">
        <v>108</v>
      </c>
      <c r="B64" s="32">
        <v>4559197</v>
      </c>
    </row>
    <row r="65" spans="1:2" x14ac:dyDescent="0.25">
      <c r="A65" s="20" t="s">
        <v>109</v>
      </c>
      <c r="B65" s="32">
        <v>6077399</v>
      </c>
    </row>
    <row r="66" spans="1:2" x14ac:dyDescent="0.25">
      <c r="A66" s="20" t="s">
        <v>110</v>
      </c>
      <c r="B66" s="32">
        <v>6660911</v>
      </c>
    </row>
    <row r="67" spans="1:2" x14ac:dyDescent="0.25">
      <c r="A67" s="20" t="s">
        <v>111</v>
      </c>
      <c r="B67" s="32">
        <v>6576822</v>
      </c>
    </row>
    <row r="68" spans="1:2" x14ac:dyDescent="0.25">
      <c r="A68" s="20" t="s">
        <v>112</v>
      </c>
      <c r="B68" s="32">
        <v>7021468</v>
      </c>
    </row>
    <row r="69" spans="1:2" x14ac:dyDescent="0.25">
      <c r="A69" s="20" t="s">
        <v>113</v>
      </c>
      <c r="B69" s="32">
        <v>7070576</v>
      </c>
    </row>
    <row r="70" spans="1:2" x14ac:dyDescent="0.25">
      <c r="A70" s="20" t="s">
        <v>114</v>
      </c>
      <c r="B70" s="32">
        <v>4402980</v>
      </c>
    </row>
    <row r="71" spans="1:2" x14ac:dyDescent="0.25">
      <c r="A71" s="20" t="s">
        <v>115</v>
      </c>
      <c r="B71" s="32">
        <v>4549360</v>
      </c>
    </row>
    <row r="72" spans="1:2" x14ac:dyDescent="0.25">
      <c r="A72" s="20" t="s">
        <v>116</v>
      </c>
      <c r="B72" s="32">
        <v>4579230</v>
      </c>
    </row>
    <row r="73" spans="1:2" x14ac:dyDescent="0.25">
      <c r="A73" s="20" t="s">
        <v>117</v>
      </c>
      <c r="B73" s="32">
        <v>4606720</v>
      </c>
    </row>
    <row r="74" spans="1:2" x14ac:dyDescent="0.25">
      <c r="A74" s="20" t="s">
        <v>118</v>
      </c>
      <c r="B74" s="32">
        <v>4805544</v>
      </c>
    </row>
    <row r="75" spans="1:2" x14ac:dyDescent="0.25">
      <c r="A75" s="20" t="s">
        <v>119</v>
      </c>
      <c r="B75" s="32">
        <v>4913309</v>
      </c>
    </row>
    <row r="76" spans="1:2" x14ac:dyDescent="0.25">
      <c r="A76" s="20" t="s">
        <v>120</v>
      </c>
      <c r="B76" s="32">
        <v>5230624</v>
      </c>
    </row>
    <row r="77" spans="1:2" x14ac:dyDescent="0.25">
      <c r="A77" s="20" t="s">
        <v>121</v>
      </c>
      <c r="B77" s="32">
        <v>5381258</v>
      </c>
    </row>
    <row r="78" spans="1:2" x14ac:dyDescent="0.25">
      <c r="A78" s="20" t="s">
        <v>122</v>
      </c>
      <c r="B78" s="32">
        <v>5305839</v>
      </c>
    </row>
    <row r="79" spans="1:2" x14ac:dyDescent="0.25">
      <c r="A79" s="20" t="s">
        <v>123</v>
      </c>
      <c r="B79" s="32">
        <v>5405110</v>
      </c>
    </row>
    <row r="80" spans="1:2" x14ac:dyDescent="0.25">
      <c r="A80" s="20" t="s">
        <v>124</v>
      </c>
      <c r="B80" s="32">
        <v>5378821</v>
      </c>
    </row>
    <row r="81" spans="1:2" x14ac:dyDescent="0.25">
      <c r="A81" s="20" t="s">
        <v>125</v>
      </c>
      <c r="B81" s="32">
        <v>5865249.42857143</v>
      </c>
    </row>
    <row r="82" spans="1:2" x14ac:dyDescent="0.25">
      <c r="A82" s="20" t="s">
        <v>126</v>
      </c>
      <c r="B82" s="32">
        <v>5646725</v>
      </c>
    </row>
    <row r="83" spans="1:2" x14ac:dyDescent="0.25">
      <c r="A83" s="20" t="s">
        <v>127</v>
      </c>
      <c r="B83" s="32">
        <v>5869883</v>
      </c>
    </row>
    <row r="84" spans="1:2" x14ac:dyDescent="0.25">
      <c r="A84" s="20" t="s">
        <v>128</v>
      </c>
      <c r="B84" s="32">
        <v>6235911</v>
      </c>
    </row>
    <row r="85" spans="1:2" x14ac:dyDescent="0.25">
      <c r="A85" s="20" t="s">
        <v>129</v>
      </c>
      <c r="B85" s="32">
        <v>5616201</v>
      </c>
    </row>
    <row r="86" spans="1:2" x14ac:dyDescent="0.25">
      <c r="A86" s="20" t="s">
        <v>130</v>
      </c>
      <c r="B86" s="32">
        <v>4280179</v>
      </c>
    </row>
    <row r="87" spans="1:2" x14ac:dyDescent="0.25">
      <c r="A87" s="20" t="s">
        <v>131</v>
      </c>
      <c r="B87" s="32">
        <v>5875363</v>
      </c>
    </row>
    <row r="88" spans="1:2" x14ac:dyDescent="0.25">
      <c r="A88" s="20" t="s">
        <v>132</v>
      </c>
      <c r="B88" s="32">
        <v>6048568</v>
      </c>
    </row>
    <row r="89" spans="1:2" x14ac:dyDescent="0.25">
      <c r="A89" s="20" t="s">
        <v>133</v>
      </c>
      <c r="B89" s="32">
        <v>6758868</v>
      </c>
    </row>
    <row r="90" spans="1:2" x14ac:dyDescent="0.25">
      <c r="A90" s="20" t="s">
        <v>134</v>
      </c>
      <c r="B90" s="32">
        <v>6695265</v>
      </c>
    </row>
    <row r="91" spans="1:2" x14ac:dyDescent="0.25">
      <c r="A91" s="20" t="s">
        <v>38</v>
      </c>
      <c r="B91" s="32">
        <v>485332285.4285714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7935-0544-4C22-9F0A-1B62F90F5660}">
  <dimension ref="A3:C91"/>
  <sheetViews>
    <sheetView topLeftCell="B1" workbookViewId="0">
      <selection activeCell="A3" sqref="A3"/>
    </sheetView>
  </sheetViews>
  <sheetFormatPr defaultRowHeight="15" x14ac:dyDescent="0.25"/>
  <cols>
    <col min="1" max="1" width="13.42578125" bestFit="1" customWidth="1"/>
    <col min="2" max="2" width="41.5703125" bestFit="1" customWidth="1"/>
    <col min="3" max="3" width="33" bestFit="1" customWidth="1"/>
  </cols>
  <sheetData>
    <row r="3" spans="1:3" x14ac:dyDescent="0.25">
      <c r="A3" s="19" t="s">
        <v>37</v>
      </c>
      <c r="B3" t="s">
        <v>39</v>
      </c>
      <c r="C3" t="s">
        <v>135</v>
      </c>
    </row>
    <row r="4" spans="1:3" x14ac:dyDescent="0.25">
      <c r="A4" s="20" t="s">
        <v>48</v>
      </c>
      <c r="B4" s="31">
        <v>0.94713539665498303</v>
      </c>
      <c r="C4" s="32">
        <v>238027</v>
      </c>
    </row>
    <row r="5" spans="1:3" x14ac:dyDescent="0.25">
      <c r="A5" s="20" t="s">
        <v>49</v>
      </c>
      <c r="B5" s="31">
        <v>0.98247954863570452</v>
      </c>
      <c r="C5" s="32">
        <v>85142.00000000016</v>
      </c>
    </row>
    <row r="6" spans="1:3" x14ac:dyDescent="0.25">
      <c r="A6" s="20" t="s">
        <v>50</v>
      </c>
      <c r="B6" s="31">
        <v>0.98342567978078899</v>
      </c>
      <c r="C6" s="32">
        <v>81077</v>
      </c>
    </row>
    <row r="7" spans="1:3" x14ac:dyDescent="0.25">
      <c r="A7" s="20" t="s">
        <v>51</v>
      </c>
      <c r="B7" s="31">
        <v>0.98257000044270015</v>
      </c>
      <c r="C7" s="32">
        <v>85831</v>
      </c>
    </row>
    <row r="8" spans="1:3" x14ac:dyDescent="0.25">
      <c r="A8" s="20" t="s">
        <v>52</v>
      </c>
      <c r="B8" s="31">
        <v>0.98332435747778324</v>
      </c>
      <c r="C8" s="32">
        <v>83169</v>
      </c>
    </row>
    <row r="9" spans="1:3" x14ac:dyDescent="0.25">
      <c r="A9" s="20" t="s">
        <v>53</v>
      </c>
      <c r="B9" s="31">
        <v>0.98588472427183771</v>
      </c>
      <c r="C9" s="32">
        <v>74693</v>
      </c>
    </row>
    <row r="10" spans="1:3" x14ac:dyDescent="0.25">
      <c r="A10" s="20" t="s">
        <v>54</v>
      </c>
      <c r="B10" s="31">
        <v>0.98430944599519932</v>
      </c>
      <c r="C10" s="32">
        <v>86672</v>
      </c>
    </row>
    <row r="11" spans="1:3" x14ac:dyDescent="0.25">
      <c r="A11" s="20" t="s">
        <v>55</v>
      </c>
      <c r="B11" s="31">
        <v>0.97049150113864036</v>
      </c>
      <c r="C11" s="32">
        <v>162348</v>
      </c>
    </row>
    <row r="12" spans="1:3" x14ac:dyDescent="0.25">
      <c r="A12" s="20" t="s">
        <v>56</v>
      </c>
      <c r="B12" s="31">
        <v>0.96639909716096428</v>
      </c>
      <c r="C12" s="32">
        <v>187752</v>
      </c>
    </row>
    <row r="13" spans="1:3" x14ac:dyDescent="0.25">
      <c r="A13" s="20" t="s">
        <v>57</v>
      </c>
      <c r="B13" s="31">
        <v>0.95655752920305925</v>
      </c>
      <c r="C13" s="32">
        <v>241285</v>
      </c>
    </row>
    <row r="14" spans="1:3" x14ac:dyDescent="0.25">
      <c r="A14" s="20" t="s">
        <v>58</v>
      </c>
      <c r="B14" s="31">
        <v>0.95091998827161561</v>
      </c>
      <c r="C14" s="32">
        <v>284561</v>
      </c>
    </row>
    <row r="15" spans="1:3" x14ac:dyDescent="0.25">
      <c r="A15" s="20" t="s">
        <v>59</v>
      </c>
      <c r="B15" s="31">
        <v>0.94098783336233571</v>
      </c>
      <c r="C15" s="32">
        <v>337088</v>
      </c>
    </row>
    <row r="16" spans="1:3" x14ac:dyDescent="0.25">
      <c r="A16" s="20" t="s">
        <v>60</v>
      </c>
      <c r="B16" s="31">
        <v>0.90293870209938298</v>
      </c>
      <c r="C16" s="32">
        <v>572363</v>
      </c>
    </row>
    <row r="17" spans="1:3" x14ac:dyDescent="0.25">
      <c r="A17" s="20" t="s">
        <v>61</v>
      </c>
      <c r="B17" s="31">
        <v>0.90304689692738194</v>
      </c>
      <c r="C17" s="32">
        <v>582747</v>
      </c>
    </row>
    <row r="18" spans="1:3" x14ac:dyDescent="0.25">
      <c r="A18" s="20" t="s">
        <v>62</v>
      </c>
      <c r="B18" s="31">
        <v>0.89937413990490434</v>
      </c>
      <c r="C18" s="32">
        <v>628184</v>
      </c>
    </row>
    <row r="19" spans="1:3" x14ac:dyDescent="0.25">
      <c r="A19" s="20" t="s">
        <v>63</v>
      </c>
      <c r="B19" s="31">
        <v>0.86014557649371148</v>
      </c>
      <c r="C19" s="32">
        <v>834228</v>
      </c>
    </row>
    <row r="20" spans="1:3" x14ac:dyDescent="0.25">
      <c r="A20" s="20" t="s">
        <v>64</v>
      </c>
      <c r="B20" s="31">
        <v>0.92436959013384978</v>
      </c>
      <c r="C20" s="32">
        <v>241707</v>
      </c>
    </row>
    <row r="21" spans="1:3" x14ac:dyDescent="0.25">
      <c r="A21" s="20" t="s">
        <v>65</v>
      </c>
      <c r="B21" s="31">
        <v>0.83354975545099763</v>
      </c>
      <c r="C21" s="32">
        <v>902667</v>
      </c>
    </row>
    <row r="22" spans="1:3" x14ac:dyDescent="0.25">
      <c r="A22" s="20" t="s">
        <v>66</v>
      </c>
      <c r="B22" s="31">
        <v>0.72387015927825638</v>
      </c>
      <c r="C22" s="32">
        <v>1591838</v>
      </c>
    </row>
    <row r="23" spans="1:3" x14ac:dyDescent="0.25">
      <c r="A23" s="20" t="s">
        <v>67</v>
      </c>
      <c r="B23" s="31">
        <v>0.74218773055749376</v>
      </c>
      <c r="C23" s="32">
        <v>1493862</v>
      </c>
    </row>
    <row r="24" spans="1:3" x14ac:dyDescent="0.25">
      <c r="A24" s="20" t="s">
        <v>68</v>
      </c>
      <c r="B24" s="31">
        <v>0.74337223646872219</v>
      </c>
      <c r="C24" s="32">
        <v>1783826</v>
      </c>
    </row>
    <row r="25" spans="1:3" x14ac:dyDescent="0.25">
      <c r="A25" s="20" t="s">
        <v>69</v>
      </c>
      <c r="B25" s="31">
        <v>0.75252134702877205</v>
      </c>
      <c r="C25" s="32">
        <v>1743866</v>
      </c>
    </row>
    <row r="26" spans="1:3" x14ac:dyDescent="0.25">
      <c r="A26" s="20" t="s">
        <v>70</v>
      </c>
      <c r="B26" s="31">
        <v>0.95895950903011939</v>
      </c>
      <c r="C26" s="32">
        <v>187009</v>
      </c>
    </row>
    <row r="27" spans="1:3" x14ac:dyDescent="0.25">
      <c r="A27" s="20" t="s">
        <v>71</v>
      </c>
      <c r="B27" s="31">
        <v>0.98773021264666427</v>
      </c>
      <c r="C27" s="32">
        <v>58211</v>
      </c>
    </row>
    <row r="28" spans="1:3" x14ac:dyDescent="0.25">
      <c r="A28" s="20" t="s">
        <v>72</v>
      </c>
      <c r="B28" s="31">
        <v>0.9848024869066605</v>
      </c>
      <c r="C28" s="32">
        <v>74349</v>
      </c>
    </row>
    <row r="29" spans="1:3" x14ac:dyDescent="0.25">
      <c r="A29" s="20" t="s">
        <v>73</v>
      </c>
      <c r="B29" s="31">
        <v>0.98364100691672496</v>
      </c>
      <c r="C29" s="32">
        <v>79303</v>
      </c>
    </row>
    <row r="30" spans="1:3" x14ac:dyDescent="0.25">
      <c r="A30" s="20" t="s">
        <v>74</v>
      </c>
      <c r="B30" s="31">
        <v>0.98672654504386825</v>
      </c>
      <c r="C30" s="32">
        <v>65441</v>
      </c>
    </row>
    <row r="31" spans="1:3" x14ac:dyDescent="0.25">
      <c r="A31" s="20" t="s">
        <v>75</v>
      </c>
      <c r="B31" s="31">
        <v>0.98725567899513988</v>
      </c>
      <c r="C31" s="32">
        <v>66023</v>
      </c>
    </row>
    <row r="32" spans="1:3" x14ac:dyDescent="0.25">
      <c r="A32" s="20" t="s">
        <v>76</v>
      </c>
      <c r="B32" s="31">
        <v>0.98013340506208557</v>
      </c>
      <c r="C32" s="32">
        <v>106799</v>
      </c>
    </row>
    <row r="33" spans="1:3" x14ac:dyDescent="0.25">
      <c r="A33" s="20" t="s">
        <v>77</v>
      </c>
      <c r="B33" s="31">
        <v>0.97290036431453786</v>
      </c>
      <c r="C33" s="32">
        <v>144843</v>
      </c>
    </row>
    <row r="34" spans="1:3" x14ac:dyDescent="0.25">
      <c r="A34" s="20" t="s">
        <v>78</v>
      </c>
      <c r="B34" s="31">
        <v>0.96943358543072689</v>
      </c>
      <c r="C34" s="32">
        <v>167921</v>
      </c>
    </row>
    <row r="35" spans="1:3" x14ac:dyDescent="0.25">
      <c r="A35" s="20" t="s">
        <v>79</v>
      </c>
      <c r="B35" s="31">
        <v>0.96275233020780793</v>
      </c>
      <c r="C35" s="32">
        <v>205799</v>
      </c>
    </row>
    <row r="36" spans="1:3" x14ac:dyDescent="0.25">
      <c r="A36" s="20" t="s">
        <v>80</v>
      </c>
      <c r="B36" s="31">
        <v>0.94982101941048558</v>
      </c>
      <c r="C36" s="32">
        <v>281215</v>
      </c>
    </row>
    <row r="37" spans="1:3" x14ac:dyDescent="0.25">
      <c r="A37" s="20" t="s">
        <v>81</v>
      </c>
      <c r="B37" s="31">
        <v>0.94239868770994362</v>
      </c>
      <c r="C37" s="32">
        <v>327061</v>
      </c>
    </row>
    <row r="38" spans="1:3" x14ac:dyDescent="0.25">
      <c r="A38" s="20" t="s">
        <v>82</v>
      </c>
      <c r="B38" s="31">
        <v>0.90627907354957304</v>
      </c>
      <c r="C38" s="32">
        <v>558989</v>
      </c>
    </row>
    <row r="39" spans="1:3" x14ac:dyDescent="0.25">
      <c r="A39" s="20" t="s">
        <v>83</v>
      </c>
      <c r="B39" s="31">
        <v>0.90110418177325335</v>
      </c>
      <c r="C39" s="32">
        <v>585915</v>
      </c>
    </row>
    <row r="40" spans="1:3" x14ac:dyDescent="0.25">
      <c r="A40" s="20" t="s">
        <v>84</v>
      </c>
      <c r="B40" s="31">
        <v>0.89329265482267572</v>
      </c>
      <c r="C40" s="32">
        <v>659819</v>
      </c>
    </row>
    <row r="41" spans="1:3" x14ac:dyDescent="0.25">
      <c r="A41" s="20" t="s">
        <v>85</v>
      </c>
      <c r="B41" s="31">
        <v>0.86019821732884227</v>
      </c>
      <c r="C41" s="32">
        <v>820442</v>
      </c>
    </row>
    <row r="42" spans="1:3" x14ac:dyDescent="0.25">
      <c r="A42" s="20" t="s">
        <v>86</v>
      </c>
      <c r="B42" s="31">
        <v>0.89429309004226742</v>
      </c>
      <c r="C42" s="32">
        <v>471471</v>
      </c>
    </row>
    <row r="43" spans="1:3" x14ac:dyDescent="0.25">
      <c r="A43" s="20" t="s">
        <v>87</v>
      </c>
      <c r="B43" s="31">
        <v>0.76653143471395391</v>
      </c>
      <c r="C43" s="32">
        <v>1312490</v>
      </c>
    </row>
    <row r="44" spans="1:3" x14ac:dyDescent="0.25">
      <c r="A44" s="20" t="s">
        <v>88</v>
      </c>
      <c r="B44" s="31">
        <v>0.71267593231124482</v>
      </c>
      <c r="C44" s="32">
        <v>1585749</v>
      </c>
    </row>
    <row r="45" spans="1:3" x14ac:dyDescent="0.25">
      <c r="A45" s="20" t="s">
        <v>89</v>
      </c>
      <c r="B45" s="31">
        <v>0.72923968323195509</v>
      </c>
      <c r="C45" s="32">
        <v>1754444</v>
      </c>
    </row>
    <row r="46" spans="1:3" x14ac:dyDescent="0.25">
      <c r="A46" s="20" t="s">
        <v>90</v>
      </c>
      <c r="B46" s="31">
        <v>0.75246677532597794</v>
      </c>
      <c r="C46" s="32">
        <v>1658433</v>
      </c>
    </row>
    <row r="47" spans="1:3" x14ac:dyDescent="0.25">
      <c r="A47" s="20" t="s">
        <v>91</v>
      </c>
      <c r="B47" s="31">
        <v>0.75786430767138679</v>
      </c>
      <c r="C47" s="32">
        <v>1691566</v>
      </c>
    </row>
    <row r="48" spans="1:3" x14ac:dyDescent="0.25">
      <c r="A48" s="20" t="s">
        <v>92</v>
      </c>
      <c r="B48" s="31">
        <v>0.96806072421322686</v>
      </c>
      <c r="C48" s="32">
        <v>139732</v>
      </c>
    </row>
    <row r="49" spans="1:3" x14ac:dyDescent="0.25">
      <c r="A49" s="20" t="s">
        <v>93</v>
      </c>
      <c r="B49" s="31">
        <v>0.98193475382280959</v>
      </c>
      <c r="C49" s="32">
        <v>83208</v>
      </c>
    </row>
    <row r="50" spans="1:3" x14ac:dyDescent="0.25">
      <c r="A50" s="20" t="s">
        <v>94</v>
      </c>
      <c r="B50" s="31">
        <v>0.98228020685484696</v>
      </c>
      <c r="C50" s="32">
        <v>80787</v>
      </c>
    </row>
    <row r="51" spans="1:3" x14ac:dyDescent="0.25">
      <c r="A51" s="20" t="s">
        <v>95</v>
      </c>
      <c r="B51" s="31">
        <v>0.9738703714149185</v>
      </c>
      <c r="C51" s="32">
        <v>122760</v>
      </c>
    </row>
    <row r="52" spans="1:3" x14ac:dyDescent="0.25">
      <c r="A52" s="20" t="s">
        <v>96</v>
      </c>
      <c r="B52" s="31">
        <v>0.97503067749474326</v>
      </c>
      <c r="C52" s="32">
        <v>121479</v>
      </c>
    </row>
    <row r="53" spans="1:3" x14ac:dyDescent="0.25">
      <c r="A53" s="20" t="s">
        <v>97</v>
      </c>
      <c r="B53" s="31">
        <v>0.97839837670837126</v>
      </c>
      <c r="C53" s="32">
        <v>110738</v>
      </c>
    </row>
    <row r="54" spans="1:3" x14ac:dyDescent="0.25">
      <c r="A54" s="20" t="s">
        <v>98</v>
      </c>
      <c r="B54" s="31">
        <v>0.96490709845506906</v>
      </c>
      <c r="C54" s="32">
        <v>184263</v>
      </c>
    </row>
    <row r="55" spans="1:3" x14ac:dyDescent="0.25">
      <c r="A55" s="20" t="s">
        <v>99</v>
      </c>
      <c r="B55" s="31">
        <v>0.96346868560932319</v>
      </c>
      <c r="C55" s="32">
        <v>191920</v>
      </c>
    </row>
    <row r="56" spans="1:3" x14ac:dyDescent="0.25">
      <c r="A56" s="20" t="s">
        <v>100</v>
      </c>
      <c r="B56" s="31">
        <v>0.95665303234807331</v>
      </c>
      <c r="C56" s="32">
        <v>231969</v>
      </c>
    </row>
    <row r="57" spans="1:3" x14ac:dyDescent="0.25">
      <c r="A57" s="20" t="s">
        <v>101</v>
      </c>
      <c r="B57" s="31">
        <v>0.95646386687189489</v>
      </c>
      <c r="C57" s="32">
        <v>230492</v>
      </c>
    </row>
    <row r="58" spans="1:3" x14ac:dyDescent="0.25">
      <c r="A58" s="20" t="s">
        <v>102</v>
      </c>
      <c r="B58" s="31">
        <v>0.92564275027848941</v>
      </c>
      <c r="C58" s="32">
        <v>414454</v>
      </c>
    </row>
    <row r="59" spans="1:3" x14ac:dyDescent="0.25">
      <c r="A59" s="20" t="s">
        <v>103</v>
      </c>
      <c r="B59" s="31">
        <v>0.91533443542315573</v>
      </c>
      <c r="C59" s="32">
        <v>479630</v>
      </c>
    </row>
    <row r="60" spans="1:3" x14ac:dyDescent="0.25">
      <c r="A60" s="20" t="s">
        <v>104</v>
      </c>
      <c r="B60" s="31">
        <v>0.87877738137088002</v>
      </c>
      <c r="C60" s="32">
        <v>709668</v>
      </c>
    </row>
    <row r="61" spans="1:3" x14ac:dyDescent="0.25">
      <c r="A61" s="20" t="s">
        <v>105</v>
      </c>
      <c r="B61" s="31">
        <v>0.8790756012137303</v>
      </c>
      <c r="C61" s="32">
        <v>728577</v>
      </c>
    </row>
    <row r="62" spans="1:3" x14ac:dyDescent="0.25">
      <c r="A62" s="20" t="s">
        <v>106</v>
      </c>
      <c r="B62" s="31">
        <v>0.87693696706995794</v>
      </c>
      <c r="C62" s="32">
        <v>758666</v>
      </c>
    </row>
    <row r="63" spans="1:3" x14ac:dyDescent="0.25">
      <c r="A63" s="20" t="s">
        <v>107</v>
      </c>
      <c r="B63" s="31">
        <v>0.81626620997912891</v>
      </c>
      <c r="C63" s="32">
        <v>1074351</v>
      </c>
    </row>
    <row r="64" spans="1:3" x14ac:dyDescent="0.25">
      <c r="A64" s="20" t="s">
        <v>108</v>
      </c>
      <c r="B64" s="31">
        <v>0.82897991158307249</v>
      </c>
      <c r="C64" s="32">
        <v>691609</v>
      </c>
    </row>
    <row r="65" spans="1:3" x14ac:dyDescent="0.25">
      <c r="A65" s="20" t="s">
        <v>109</v>
      </c>
      <c r="B65" s="31">
        <v>0.73821841519109699</v>
      </c>
      <c r="C65" s="32">
        <v>1415869</v>
      </c>
    </row>
    <row r="66" spans="1:3" x14ac:dyDescent="0.25">
      <c r="A66" s="20" t="s">
        <v>110</v>
      </c>
      <c r="B66" s="31">
        <v>0.67869866178783478</v>
      </c>
      <c r="C66" s="32">
        <v>1909303</v>
      </c>
    </row>
    <row r="67" spans="1:3" x14ac:dyDescent="0.25">
      <c r="A67" s="20" t="s">
        <v>111</v>
      </c>
      <c r="B67" s="31">
        <v>0.69882703226573561</v>
      </c>
      <c r="C67" s="32">
        <v>1980761</v>
      </c>
    </row>
    <row r="68" spans="1:3" x14ac:dyDescent="0.25">
      <c r="A68" s="20" t="s">
        <v>112</v>
      </c>
      <c r="B68" s="31">
        <v>0.72131027300843642</v>
      </c>
      <c r="C68" s="32">
        <v>1956811</v>
      </c>
    </row>
    <row r="69" spans="1:3" x14ac:dyDescent="0.25">
      <c r="A69" s="20" t="s">
        <v>113</v>
      </c>
      <c r="B69" s="31">
        <v>0.74067699717816482</v>
      </c>
      <c r="C69" s="32">
        <v>1833563</v>
      </c>
    </row>
    <row r="70" spans="1:3" x14ac:dyDescent="0.25">
      <c r="A70" s="20" t="s">
        <v>114</v>
      </c>
      <c r="B70" s="31">
        <v>0.97328014208558744</v>
      </c>
      <c r="C70" s="32">
        <v>117647</v>
      </c>
    </row>
    <row r="71" spans="1:3" x14ac:dyDescent="0.25">
      <c r="A71" s="20" t="s">
        <v>115</v>
      </c>
      <c r="B71" s="31">
        <v>0.9749292208134771</v>
      </c>
      <c r="C71" s="32">
        <v>114056</v>
      </c>
    </row>
    <row r="72" spans="1:3" x14ac:dyDescent="0.25">
      <c r="A72" s="20" t="s">
        <v>116</v>
      </c>
      <c r="B72" s="31">
        <v>0.97660742089827324</v>
      </c>
      <c r="C72" s="32">
        <v>107120</v>
      </c>
    </row>
    <row r="73" spans="1:3" x14ac:dyDescent="0.25">
      <c r="A73" s="20" t="s">
        <v>117</v>
      </c>
      <c r="B73" s="31">
        <v>0.97486715059738815</v>
      </c>
      <c r="C73" s="32">
        <v>115780</v>
      </c>
    </row>
    <row r="74" spans="1:3" x14ac:dyDescent="0.25">
      <c r="A74" s="20" t="s">
        <v>118</v>
      </c>
      <c r="B74" s="31">
        <v>0.97735615364254291</v>
      </c>
      <c r="C74" s="32">
        <v>108816</v>
      </c>
    </row>
    <row r="75" spans="1:3" x14ac:dyDescent="0.25">
      <c r="A75" s="20" t="s">
        <v>119</v>
      </c>
      <c r="B75" s="31">
        <v>0.97920688481021645</v>
      </c>
      <c r="C75" s="32">
        <v>102163</v>
      </c>
    </row>
    <row r="76" spans="1:3" x14ac:dyDescent="0.25">
      <c r="A76" s="20" t="s">
        <v>120</v>
      </c>
      <c r="B76" s="31">
        <v>0.96570581253785404</v>
      </c>
      <c r="C76" s="32">
        <v>179380</v>
      </c>
    </row>
    <row r="77" spans="1:3" x14ac:dyDescent="0.25">
      <c r="A77" s="20" t="s">
        <v>121</v>
      </c>
      <c r="B77" s="31">
        <v>0.9580336047816328</v>
      </c>
      <c r="C77" s="32">
        <v>225832</v>
      </c>
    </row>
    <row r="78" spans="1:3" x14ac:dyDescent="0.25">
      <c r="A78" s="20" t="s">
        <v>122</v>
      </c>
      <c r="B78" s="31">
        <v>0.94086345250958425</v>
      </c>
      <c r="C78" s="32">
        <v>313769</v>
      </c>
    </row>
    <row r="79" spans="1:3" x14ac:dyDescent="0.25">
      <c r="A79" s="20" t="s">
        <v>123</v>
      </c>
      <c r="B79" s="31">
        <v>0.95159950491294354</v>
      </c>
      <c r="C79" s="32">
        <v>261610</v>
      </c>
    </row>
    <row r="80" spans="1:3" x14ac:dyDescent="0.25">
      <c r="A80" s="20" t="s">
        <v>124</v>
      </c>
      <c r="B80" s="31">
        <v>0.9180288765883825</v>
      </c>
      <c r="C80" s="32">
        <v>440908</v>
      </c>
    </row>
    <row r="81" spans="1:3" x14ac:dyDescent="0.25">
      <c r="A81" s="20" t="s">
        <v>125</v>
      </c>
      <c r="B81" s="31">
        <v>0.87874326426161486</v>
      </c>
      <c r="C81" s="32">
        <v>711201</v>
      </c>
    </row>
    <row r="82" spans="1:3" x14ac:dyDescent="0.25">
      <c r="A82" s="20" t="s">
        <v>126</v>
      </c>
      <c r="B82" s="31">
        <v>0.87613705289349131</v>
      </c>
      <c r="C82" s="32">
        <v>699420</v>
      </c>
    </row>
    <row r="83" spans="1:3" x14ac:dyDescent="0.25">
      <c r="A83" s="20" t="s">
        <v>127</v>
      </c>
      <c r="B83" s="31">
        <v>0.84983550779461869</v>
      </c>
      <c r="C83" s="32">
        <v>881448</v>
      </c>
    </row>
    <row r="84" spans="1:3" x14ac:dyDescent="0.25">
      <c r="A84" s="20" t="s">
        <v>128</v>
      </c>
      <c r="B84" s="31">
        <v>0.85097061199237767</v>
      </c>
      <c r="C84" s="32">
        <v>929334</v>
      </c>
    </row>
    <row r="85" spans="1:3" x14ac:dyDescent="0.25">
      <c r="A85" s="20" t="s">
        <v>129</v>
      </c>
      <c r="B85" s="31">
        <v>0.82777533216497645</v>
      </c>
      <c r="C85" s="32">
        <v>870884</v>
      </c>
    </row>
    <row r="86" spans="1:3" x14ac:dyDescent="0.25">
      <c r="A86" s="20" t="s">
        <v>130</v>
      </c>
      <c r="B86" s="31">
        <v>0.83144121674452776</v>
      </c>
      <c r="C86" s="32">
        <v>640475</v>
      </c>
    </row>
    <row r="87" spans="1:3" x14ac:dyDescent="0.25">
      <c r="A87" s="20" t="s">
        <v>131</v>
      </c>
      <c r="B87" s="31">
        <v>0.73009428005995758</v>
      </c>
      <c r="C87" s="32">
        <v>1411164</v>
      </c>
    </row>
    <row r="88" spans="1:3" x14ac:dyDescent="0.25">
      <c r="A88" s="20" t="s">
        <v>132</v>
      </c>
      <c r="B88" s="31">
        <v>0.71841698796633846</v>
      </c>
      <c r="C88" s="32">
        <v>1519875</v>
      </c>
    </row>
    <row r="89" spans="1:3" x14ac:dyDescent="0.25">
      <c r="A89" s="20" t="s">
        <v>133</v>
      </c>
      <c r="B89" s="31">
        <v>0.7196108875036471</v>
      </c>
      <c r="C89" s="32">
        <v>1895113</v>
      </c>
    </row>
    <row r="90" spans="1:3" x14ac:dyDescent="0.25">
      <c r="A90" s="20" t="s">
        <v>134</v>
      </c>
      <c r="B90" s="31">
        <v>0.73852565955193705</v>
      </c>
      <c r="C90" s="32">
        <v>1750640</v>
      </c>
    </row>
    <row r="91" spans="1:3" x14ac:dyDescent="0.25">
      <c r="A91" s="20" t="s">
        <v>38</v>
      </c>
      <c r="B91" s="31">
        <v>0.89393336637286558</v>
      </c>
      <c r="C91" s="32">
        <v>54033470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B13E-D99F-44E7-95F7-C3F6658E566D}">
  <dimension ref="A1:K4"/>
  <sheetViews>
    <sheetView topLeftCell="B1" workbookViewId="0">
      <selection activeCell="H4" sqref="H4"/>
    </sheetView>
  </sheetViews>
  <sheetFormatPr defaultRowHeight="15" x14ac:dyDescent="0.25"/>
  <cols>
    <col min="1" max="2" width="9.28515625" bestFit="1" customWidth="1"/>
    <col min="3" max="3" width="14.28515625" bestFit="1" customWidth="1"/>
    <col min="4" max="4" width="16" bestFit="1" customWidth="1"/>
    <col min="5" max="5" width="16.42578125" bestFit="1" customWidth="1"/>
    <col min="6" max="6" width="19.5703125" bestFit="1" customWidth="1"/>
    <col min="7" max="8" width="28.42578125" bestFit="1" customWidth="1"/>
    <col min="9" max="9" width="33.7109375" bestFit="1" customWidth="1"/>
    <col min="10" max="10" width="9.28515625" bestFit="1" customWidth="1"/>
    <col min="11" max="11" width="10.140625" bestFit="1" customWidth="1"/>
  </cols>
  <sheetData>
    <row r="1" spans="1:11" x14ac:dyDescent="0.25">
      <c r="A1" s="55" t="s">
        <v>145</v>
      </c>
    </row>
    <row r="3" spans="1:11" x14ac:dyDescent="0.25">
      <c r="A3" t="s">
        <v>0</v>
      </c>
      <c r="B3" t="s">
        <v>41</v>
      </c>
      <c r="C3" t="s">
        <v>23</v>
      </c>
      <c r="D3" t="s">
        <v>31</v>
      </c>
      <c r="E3" t="s">
        <v>32</v>
      </c>
      <c r="F3" t="s">
        <v>33</v>
      </c>
      <c r="G3" t="s">
        <v>34</v>
      </c>
      <c r="H3" t="s">
        <v>35</v>
      </c>
      <c r="I3" t="s">
        <v>36</v>
      </c>
      <c r="J3" t="s">
        <v>42</v>
      </c>
      <c r="K3" t="s">
        <v>43</v>
      </c>
    </row>
    <row r="4" spans="1:11" x14ac:dyDescent="0.25">
      <c r="A4" t="s">
        <v>144</v>
      </c>
      <c r="B4" t="s">
        <v>7</v>
      </c>
      <c r="C4" t="s">
        <v>24</v>
      </c>
      <c r="D4" t="s">
        <v>47</v>
      </c>
      <c r="E4" t="s">
        <v>54</v>
      </c>
      <c r="F4">
        <v>5523833</v>
      </c>
      <c r="G4">
        <v>5437161</v>
      </c>
      <c r="H4">
        <v>86672</v>
      </c>
      <c r="I4">
        <v>0.98430944599519932</v>
      </c>
      <c r="J4">
        <v>2010</v>
      </c>
      <c r="K4">
        <v>2010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197BB-9EDC-49FF-B881-57BF03652185}">
  <dimension ref="A1:B89"/>
  <sheetViews>
    <sheetView workbookViewId="0">
      <selection activeCell="C1" sqref="C1"/>
    </sheetView>
  </sheetViews>
  <sheetFormatPr defaultRowHeight="15" x14ac:dyDescent="0.25"/>
  <cols>
    <col min="1" max="1" width="13.42578125" bestFit="1" customWidth="1"/>
    <col min="2" max="2" width="41.5703125" bestFit="1" customWidth="1"/>
    <col min="3" max="3" width="38.42578125" bestFit="1" customWidth="1"/>
  </cols>
  <sheetData>
    <row r="1" spans="1:2" x14ac:dyDescent="0.25">
      <c r="A1" s="19" t="s">
        <v>37</v>
      </c>
      <c r="B1" t="s">
        <v>39</v>
      </c>
    </row>
    <row r="2" spans="1:2" x14ac:dyDescent="0.25">
      <c r="A2" s="20" t="s">
        <v>48</v>
      </c>
      <c r="B2" s="31">
        <v>0.94713539665498303</v>
      </c>
    </row>
    <row r="3" spans="1:2" x14ac:dyDescent="0.25">
      <c r="A3" s="20" t="s">
        <v>49</v>
      </c>
      <c r="B3" s="31">
        <v>0.98247954863570452</v>
      </c>
    </row>
    <row r="4" spans="1:2" x14ac:dyDescent="0.25">
      <c r="A4" s="20" t="s">
        <v>50</v>
      </c>
      <c r="B4" s="31">
        <v>0.98342567978078899</v>
      </c>
    </row>
    <row r="5" spans="1:2" x14ac:dyDescent="0.25">
      <c r="A5" s="20" t="s">
        <v>51</v>
      </c>
      <c r="B5" s="31">
        <v>0.98257000044270015</v>
      </c>
    </row>
    <row r="6" spans="1:2" x14ac:dyDescent="0.25">
      <c r="A6" s="20" t="s">
        <v>52</v>
      </c>
      <c r="B6" s="31">
        <v>0.98332435747778324</v>
      </c>
    </row>
    <row r="7" spans="1:2" x14ac:dyDescent="0.25">
      <c r="A7" s="20" t="s">
        <v>53</v>
      </c>
      <c r="B7" s="31">
        <v>0.98588472427183771</v>
      </c>
    </row>
    <row r="8" spans="1:2" x14ac:dyDescent="0.25">
      <c r="A8" s="20" t="s">
        <v>54</v>
      </c>
      <c r="B8" s="31">
        <v>0.98430944599519932</v>
      </c>
    </row>
    <row r="9" spans="1:2" x14ac:dyDescent="0.25">
      <c r="A9" s="20" t="s">
        <v>55</v>
      </c>
      <c r="B9" s="31">
        <v>0.97049150113864036</v>
      </c>
    </row>
    <row r="10" spans="1:2" x14ac:dyDescent="0.25">
      <c r="A10" s="20" t="s">
        <v>56</v>
      </c>
      <c r="B10" s="31">
        <v>0.96639909716096428</v>
      </c>
    </row>
    <row r="11" spans="1:2" x14ac:dyDescent="0.25">
      <c r="A11" s="20" t="s">
        <v>57</v>
      </c>
      <c r="B11" s="31">
        <v>0.95655752920305925</v>
      </c>
    </row>
    <row r="12" spans="1:2" x14ac:dyDescent="0.25">
      <c r="A12" s="20" t="s">
        <v>58</v>
      </c>
      <c r="B12" s="31">
        <v>0.95091998827161561</v>
      </c>
    </row>
    <row r="13" spans="1:2" x14ac:dyDescent="0.25">
      <c r="A13" s="20" t="s">
        <v>59</v>
      </c>
      <c r="B13" s="31">
        <v>0.94098783336233571</v>
      </c>
    </row>
    <row r="14" spans="1:2" x14ac:dyDescent="0.25">
      <c r="A14" s="20" t="s">
        <v>60</v>
      </c>
      <c r="B14" s="31">
        <v>0.90293870209938298</v>
      </c>
    </row>
    <row r="15" spans="1:2" x14ac:dyDescent="0.25">
      <c r="A15" s="20" t="s">
        <v>61</v>
      </c>
      <c r="B15" s="31">
        <v>0.90304689692738194</v>
      </c>
    </row>
    <row r="16" spans="1:2" x14ac:dyDescent="0.25">
      <c r="A16" s="20" t="s">
        <v>62</v>
      </c>
      <c r="B16" s="31">
        <v>0.89937413990490434</v>
      </c>
    </row>
    <row r="17" spans="1:2" x14ac:dyDescent="0.25">
      <c r="A17" s="20" t="s">
        <v>63</v>
      </c>
      <c r="B17" s="31">
        <v>0.86014557649371148</v>
      </c>
    </row>
    <row r="18" spans="1:2" x14ac:dyDescent="0.25">
      <c r="A18" s="20" t="s">
        <v>64</v>
      </c>
      <c r="B18" s="31">
        <v>0.92436959013384978</v>
      </c>
    </row>
    <row r="19" spans="1:2" x14ac:dyDescent="0.25">
      <c r="A19" s="20" t="s">
        <v>65</v>
      </c>
      <c r="B19" s="31">
        <v>0.83354975545099763</v>
      </c>
    </row>
    <row r="20" spans="1:2" x14ac:dyDescent="0.25">
      <c r="A20" s="20" t="s">
        <v>66</v>
      </c>
      <c r="B20" s="31">
        <v>0.72387015927825638</v>
      </c>
    </row>
    <row r="21" spans="1:2" x14ac:dyDescent="0.25">
      <c r="A21" s="20" t="s">
        <v>67</v>
      </c>
      <c r="B21" s="31">
        <v>0.74218773055749376</v>
      </c>
    </row>
    <row r="22" spans="1:2" x14ac:dyDescent="0.25">
      <c r="A22" s="20" t="s">
        <v>68</v>
      </c>
      <c r="B22" s="31">
        <v>0.74337223646872219</v>
      </c>
    </row>
    <row r="23" spans="1:2" x14ac:dyDescent="0.25">
      <c r="A23" s="20" t="s">
        <v>69</v>
      </c>
      <c r="B23" s="31">
        <v>0.75252134702877205</v>
      </c>
    </row>
    <row r="24" spans="1:2" x14ac:dyDescent="0.25">
      <c r="A24" s="20" t="s">
        <v>70</v>
      </c>
      <c r="B24" s="31">
        <v>0.95895950903011939</v>
      </c>
    </row>
    <row r="25" spans="1:2" x14ac:dyDescent="0.25">
      <c r="A25" s="20" t="s">
        <v>71</v>
      </c>
      <c r="B25" s="31">
        <v>0.98773021264666427</v>
      </c>
    </row>
    <row r="26" spans="1:2" x14ac:dyDescent="0.25">
      <c r="A26" s="20" t="s">
        <v>72</v>
      </c>
      <c r="B26" s="31">
        <v>0.9848024869066605</v>
      </c>
    </row>
    <row r="27" spans="1:2" x14ac:dyDescent="0.25">
      <c r="A27" s="20" t="s">
        <v>73</v>
      </c>
      <c r="B27" s="31">
        <v>0.98364100691672496</v>
      </c>
    </row>
    <row r="28" spans="1:2" x14ac:dyDescent="0.25">
      <c r="A28" s="20" t="s">
        <v>74</v>
      </c>
      <c r="B28" s="31">
        <v>0.98672654504386825</v>
      </c>
    </row>
    <row r="29" spans="1:2" x14ac:dyDescent="0.25">
      <c r="A29" s="20" t="s">
        <v>75</v>
      </c>
      <c r="B29" s="31">
        <v>0.98725567899513988</v>
      </c>
    </row>
    <row r="30" spans="1:2" x14ac:dyDescent="0.25">
      <c r="A30" s="20" t="s">
        <v>76</v>
      </c>
      <c r="B30" s="31">
        <v>0.98013340506208557</v>
      </c>
    </row>
    <row r="31" spans="1:2" x14ac:dyDescent="0.25">
      <c r="A31" s="20" t="s">
        <v>77</v>
      </c>
      <c r="B31" s="31">
        <v>0.97290036431453786</v>
      </c>
    </row>
    <row r="32" spans="1:2" x14ac:dyDescent="0.25">
      <c r="A32" s="20" t="s">
        <v>78</v>
      </c>
      <c r="B32" s="31">
        <v>0.96943358543072689</v>
      </c>
    </row>
    <row r="33" spans="1:2" x14ac:dyDescent="0.25">
      <c r="A33" s="20" t="s">
        <v>79</v>
      </c>
      <c r="B33" s="31">
        <v>0.96275233020780793</v>
      </c>
    </row>
    <row r="34" spans="1:2" x14ac:dyDescent="0.25">
      <c r="A34" s="20" t="s">
        <v>80</v>
      </c>
      <c r="B34" s="31">
        <v>0.94982101941048558</v>
      </c>
    </row>
    <row r="35" spans="1:2" x14ac:dyDescent="0.25">
      <c r="A35" s="20" t="s">
        <v>81</v>
      </c>
      <c r="B35" s="31">
        <v>0.94239868770994362</v>
      </c>
    </row>
    <row r="36" spans="1:2" x14ac:dyDescent="0.25">
      <c r="A36" s="20" t="s">
        <v>82</v>
      </c>
      <c r="B36" s="31">
        <v>0.90627907354957304</v>
      </c>
    </row>
    <row r="37" spans="1:2" x14ac:dyDescent="0.25">
      <c r="A37" s="20" t="s">
        <v>83</v>
      </c>
      <c r="B37" s="31">
        <v>0.90110418177325335</v>
      </c>
    </row>
    <row r="38" spans="1:2" x14ac:dyDescent="0.25">
      <c r="A38" s="20" t="s">
        <v>84</v>
      </c>
      <c r="B38" s="31">
        <v>0.89329265482267572</v>
      </c>
    </row>
    <row r="39" spans="1:2" x14ac:dyDescent="0.25">
      <c r="A39" s="20" t="s">
        <v>85</v>
      </c>
      <c r="B39" s="31">
        <v>0.86019821732884227</v>
      </c>
    </row>
    <row r="40" spans="1:2" x14ac:dyDescent="0.25">
      <c r="A40" s="20" t="s">
        <v>86</v>
      </c>
      <c r="B40" s="31">
        <v>0.89429309004226742</v>
      </c>
    </row>
    <row r="41" spans="1:2" x14ac:dyDescent="0.25">
      <c r="A41" s="20" t="s">
        <v>87</v>
      </c>
      <c r="B41" s="31">
        <v>0.76653143471395391</v>
      </c>
    </row>
    <row r="42" spans="1:2" x14ac:dyDescent="0.25">
      <c r="A42" s="20" t="s">
        <v>88</v>
      </c>
      <c r="B42" s="31">
        <v>0.71267593231124482</v>
      </c>
    </row>
    <row r="43" spans="1:2" x14ac:dyDescent="0.25">
      <c r="A43" s="20" t="s">
        <v>89</v>
      </c>
      <c r="B43" s="31">
        <v>0.72923968323195509</v>
      </c>
    </row>
    <row r="44" spans="1:2" x14ac:dyDescent="0.25">
      <c r="A44" s="20" t="s">
        <v>90</v>
      </c>
      <c r="B44" s="31">
        <v>0.75246677532597794</v>
      </c>
    </row>
    <row r="45" spans="1:2" x14ac:dyDescent="0.25">
      <c r="A45" s="20" t="s">
        <v>91</v>
      </c>
      <c r="B45" s="31">
        <v>0.75786430767138679</v>
      </c>
    </row>
    <row r="46" spans="1:2" x14ac:dyDescent="0.25">
      <c r="A46" s="20" t="s">
        <v>92</v>
      </c>
      <c r="B46" s="31">
        <v>0.96806072421322686</v>
      </c>
    </row>
    <row r="47" spans="1:2" x14ac:dyDescent="0.25">
      <c r="A47" s="20" t="s">
        <v>93</v>
      </c>
      <c r="B47" s="31">
        <v>0.98193475382280959</v>
      </c>
    </row>
    <row r="48" spans="1:2" x14ac:dyDescent="0.25">
      <c r="A48" s="20" t="s">
        <v>94</v>
      </c>
      <c r="B48" s="31">
        <v>0.98228020685484696</v>
      </c>
    </row>
    <row r="49" spans="1:2" x14ac:dyDescent="0.25">
      <c r="A49" s="20" t="s">
        <v>95</v>
      </c>
      <c r="B49" s="31">
        <v>0.9738703714149185</v>
      </c>
    </row>
    <row r="50" spans="1:2" x14ac:dyDescent="0.25">
      <c r="A50" s="20" t="s">
        <v>96</v>
      </c>
      <c r="B50" s="31">
        <v>0.97503067749474326</v>
      </c>
    </row>
    <row r="51" spans="1:2" x14ac:dyDescent="0.25">
      <c r="A51" s="20" t="s">
        <v>97</v>
      </c>
      <c r="B51" s="31">
        <v>0.97839837670837126</v>
      </c>
    </row>
    <row r="52" spans="1:2" x14ac:dyDescent="0.25">
      <c r="A52" s="20" t="s">
        <v>98</v>
      </c>
      <c r="B52" s="31">
        <v>0.96490709845506906</v>
      </c>
    </row>
    <row r="53" spans="1:2" x14ac:dyDescent="0.25">
      <c r="A53" s="20" t="s">
        <v>99</v>
      </c>
      <c r="B53" s="31">
        <v>0.96346868560932319</v>
      </c>
    </row>
    <row r="54" spans="1:2" x14ac:dyDescent="0.25">
      <c r="A54" s="20" t="s">
        <v>100</v>
      </c>
      <c r="B54" s="31">
        <v>0.95665303234807331</v>
      </c>
    </row>
    <row r="55" spans="1:2" x14ac:dyDescent="0.25">
      <c r="A55" s="20" t="s">
        <v>101</v>
      </c>
      <c r="B55" s="31">
        <v>0.95646386687189489</v>
      </c>
    </row>
    <row r="56" spans="1:2" x14ac:dyDescent="0.25">
      <c r="A56" s="20" t="s">
        <v>102</v>
      </c>
      <c r="B56" s="31">
        <v>0.92564275027848941</v>
      </c>
    </row>
    <row r="57" spans="1:2" x14ac:dyDescent="0.25">
      <c r="A57" s="20" t="s">
        <v>103</v>
      </c>
      <c r="B57" s="31">
        <v>0.91533443542315573</v>
      </c>
    </row>
    <row r="58" spans="1:2" x14ac:dyDescent="0.25">
      <c r="A58" s="20" t="s">
        <v>104</v>
      </c>
      <c r="B58" s="31">
        <v>0.87877738137088002</v>
      </c>
    </row>
    <row r="59" spans="1:2" x14ac:dyDescent="0.25">
      <c r="A59" s="20" t="s">
        <v>105</v>
      </c>
      <c r="B59" s="31">
        <v>0.8790756012137303</v>
      </c>
    </row>
    <row r="60" spans="1:2" x14ac:dyDescent="0.25">
      <c r="A60" s="20" t="s">
        <v>106</v>
      </c>
      <c r="B60" s="31">
        <v>0.87693696706995794</v>
      </c>
    </row>
    <row r="61" spans="1:2" x14ac:dyDescent="0.25">
      <c r="A61" s="20" t="s">
        <v>107</v>
      </c>
      <c r="B61" s="31">
        <v>0.81626620997912891</v>
      </c>
    </row>
    <row r="62" spans="1:2" x14ac:dyDescent="0.25">
      <c r="A62" s="20" t="s">
        <v>108</v>
      </c>
      <c r="B62" s="31">
        <v>0.82897991158307249</v>
      </c>
    </row>
    <row r="63" spans="1:2" x14ac:dyDescent="0.25">
      <c r="A63" s="20" t="s">
        <v>109</v>
      </c>
      <c r="B63" s="31">
        <v>0.73821841519109699</v>
      </c>
    </row>
    <row r="64" spans="1:2" x14ac:dyDescent="0.25">
      <c r="A64" s="20" t="s">
        <v>110</v>
      </c>
      <c r="B64" s="31">
        <v>0.67869866178783478</v>
      </c>
    </row>
    <row r="65" spans="1:2" x14ac:dyDescent="0.25">
      <c r="A65" s="20" t="s">
        <v>111</v>
      </c>
      <c r="B65" s="31">
        <v>0.69882703226573561</v>
      </c>
    </row>
    <row r="66" spans="1:2" x14ac:dyDescent="0.25">
      <c r="A66" s="20" t="s">
        <v>112</v>
      </c>
      <c r="B66" s="31">
        <v>0.72131027300843642</v>
      </c>
    </row>
    <row r="67" spans="1:2" x14ac:dyDescent="0.25">
      <c r="A67" s="20" t="s">
        <v>113</v>
      </c>
      <c r="B67" s="31">
        <v>0.74067699717816482</v>
      </c>
    </row>
    <row r="68" spans="1:2" x14ac:dyDescent="0.25">
      <c r="A68" s="20" t="s">
        <v>114</v>
      </c>
      <c r="B68" s="31">
        <v>0.97328014208558744</v>
      </c>
    </row>
    <row r="69" spans="1:2" x14ac:dyDescent="0.25">
      <c r="A69" s="20" t="s">
        <v>115</v>
      </c>
      <c r="B69" s="31">
        <v>0.9749292208134771</v>
      </c>
    </row>
    <row r="70" spans="1:2" x14ac:dyDescent="0.25">
      <c r="A70" s="20" t="s">
        <v>116</v>
      </c>
      <c r="B70" s="31">
        <v>0.97660742089827324</v>
      </c>
    </row>
    <row r="71" spans="1:2" x14ac:dyDescent="0.25">
      <c r="A71" s="20" t="s">
        <v>117</v>
      </c>
      <c r="B71" s="31">
        <v>0.97486715059738815</v>
      </c>
    </row>
    <row r="72" spans="1:2" x14ac:dyDescent="0.25">
      <c r="A72" s="20" t="s">
        <v>118</v>
      </c>
      <c r="B72" s="31">
        <v>0.97735615364254291</v>
      </c>
    </row>
    <row r="73" spans="1:2" x14ac:dyDescent="0.25">
      <c r="A73" s="20" t="s">
        <v>119</v>
      </c>
      <c r="B73" s="31">
        <v>0.97920688481021645</v>
      </c>
    </row>
    <row r="74" spans="1:2" x14ac:dyDescent="0.25">
      <c r="A74" s="20" t="s">
        <v>120</v>
      </c>
      <c r="B74" s="31">
        <v>0.96570581253785404</v>
      </c>
    </row>
    <row r="75" spans="1:2" x14ac:dyDescent="0.25">
      <c r="A75" s="20" t="s">
        <v>121</v>
      </c>
      <c r="B75" s="31">
        <v>0.9580336047816328</v>
      </c>
    </row>
    <row r="76" spans="1:2" x14ac:dyDescent="0.25">
      <c r="A76" s="20" t="s">
        <v>122</v>
      </c>
      <c r="B76" s="31">
        <v>0.94086345250958425</v>
      </c>
    </row>
    <row r="77" spans="1:2" x14ac:dyDescent="0.25">
      <c r="A77" s="20" t="s">
        <v>123</v>
      </c>
      <c r="B77" s="31">
        <v>0.95159950491294354</v>
      </c>
    </row>
    <row r="78" spans="1:2" x14ac:dyDescent="0.25">
      <c r="A78" s="20" t="s">
        <v>124</v>
      </c>
      <c r="B78" s="31">
        <v>0.9180288765883825</v>
      </c>
    </row>
    <row r="79" spans="1:2" x14ac:dyDescent="0.25">
      <c r="A79" s="20" t="s">
        <v>125</v>
      </c>
      <c r="B79" s="31">
        <v>0.87874326426161486</v>
      </c>
    </row>
    <row r="80" spans="1:2" x14ac:dyDescent="0.25">
      <c r="A80" s="20" t="s">
        <v>126</v>
      </c>
      <c r="B80" s="31">
        <v>0.87613705289349131</v>
      </c>
    </row>
    <row r="81" spans="1:2" x14ac:dyDescent="0.25">
      <c r="A81" s="20" t="s">
        <v>127</v>
      </c>
      <c r="B81" s="31">
        <v>0.84983550779461869</v>
      </c>
    </row>
    <row r="82" spans="1:2" x14ac:dyDescent="0.25">
      <c r="A82" s="20" t="s">
        <v>128</v>
      </c>
      <c r="B82" s="31">
        <v>0.85097061199237767</v>
      </c>
    </row>
    <row r="83" spans="1:2" x14ac:dyDescent="0.25">
      <c r="A83" s="20" t="s">
        <v>129</v>
      </c>
      <c r="B83" s="31">
        <v>0.82777533216497645</v>
      </c>
    </row>
    <row r="84" spans="1:2" x14ac:dyDescent="0.25">
      <c r="A84" s="20" t="s">
        <v>130</v>
      </c>
      <c r="B84" s="31">
        <v>0.83144121674452776</v>
      </c>
    </row>
    <row r="85" spans="1:2" x14ac:dyDescent="0.25">
      <c r="A85" s="20" t="s">
        <v>131</v>
      </c>
      <c r="B85" s="31">
        <v>0.73009428005995758</v>
      </c>
    </row>
    <row r="86" spans="1:2" x14ac:dyDescent="0.25">
      <c r="A86" s="20" t="s">
        <v>132</v>
      </c>
      <c r="B86" s="31">
        <v>0.71841698796633846</v>
      </c>
    </row>
    <row r="87" spans="1:2" x14ac:dyDescent="0.25">
      <c r="A87" s="20" t="s">
        <v>133</v>
      </c>
      <c r="B87" s="31">
        <v>0.7196108875036471</v>
      </c>
    </row>
    <row r="88" spans="1:2" x14ac:dyDescent="0.25">
      <c r="A88" s="20" t="s">
        <v>134</v>
      </c>
      <c r="B88" s="31">
        <v>0.73852565955193705</v>
      </c>
    </row>
    <row r="89" spans="1:2" x14ac:dyDescent="0.25">
      <c r="A89" s="20" t="s">
        <v>38</v>
      </c>
      <c r="B89" s="31">
        <v>0.89393336637286558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4038-7BA1-42F1-9D43-BD76F3ACF3DC}">
  <dimension ref="A1:L88"/>
  <sheetViews>
    <sheetView topLeftCell="D72" workbookViewId="0">
      <selection activeCell="L2" sqref="L2:L88"/>
    </sheetView>
  </sheetViews>
  <sheetFormatPr defaultRowHeight="15" x14ac:dyDescent="0.25"/>
  <cols>
    <col min="1" max="1" width="9.140625" style="34"/>
    <col min="2" max="2" width="9.140625" customWidth="1"/>
    <col min="3" max="3" width="20.85546875" customWidth="1"/>
    <col min="4" max="4" width="17.5703125" customWidth="1"/>
    <col min="5" max="5" width="18.7109375" customWidth="1"/>
    <col min="6" max="6" width="21.85546875" customWidth="1"/>
    <col min="7" max="8" width="32.42578125" customWidth="1"/>
    <col min="9" max="9" width="38.140625" customWidth="1"/>
    <col min="15" max="15" width="13.140625" bestFit="1" customWidth="1"/>
    <col min="16" max="16" width="41.140625" bestFit="1" customWidth="1"/>
  </cols>
  <sheetData>
    <row r="1" spans="1:12" x14ac:dyDescent="0.25">
      <c r="A1" s="33" t="s">
        <v>0</v>
      </c>
      <c r="B1" s="1" t="s">
        <v>41</v>
      </c>
      <c r="C1" s="1" t="s">
        <v>23</v>
      </c>
      <c r="D1" s="18" t="s">
        <v>31</v>
      </c>
      <c r="E1" s="18" t="s">
        <v>32</v>
      </c>
      <c r="F1" s="18" t="s">
        <v>33</v>
      </c>
      <c r="G1" s="1" t="s">
        <v>34</v>
      </c>
      <c r="H1" s="1" t="s">
        <v>35</v>
      </c>
      <c r="I1" s="1" t="s">
        <v>36</v>
      </c>
      <c r="J1" s="35" t="s">
        <v>42</v>
      </c>
      <c r="K1" s="35" t="s">
        <v>43</v>
      </c>
      <c r="L1" s="35" t="s">
        <v>143</v>
      </c>
    </row>
    <row r="2" spans="1:12" x14ac:dyDescent="0.25">
      <c r="A2" s="34" t="str">
        <f>LEFT(B2, 4)</f>
        <v>2004</v>
      </c>
      <c r="B2" s="2" t="s">
        <v>1</v>
      </c>
      <c r="C2" s="9" t="s">
        <v>24</v>
      </c>
      <c r="D2" s="21" t="str">
        <f>LEFT(C2,2)</f>
        <v>Q1</v>
      </c>
      <c r="E2" s="21" t="str">
        <f t="shared" ref="E2:E33" si="0">D2 &amp;" "&amp; B2</f>
        <v>Q1 2004-05</v>
      </c>
      <c r="F2" s="22">
        <v>4502578</v>
      </c>
      <c r="G2" s="23">
        <v>4264551</v>
      </c>
      <c r="H2" s="23">
        <v>238027</v>
      </c>
      <c r="I2" s="24">
        <v>0.94713539665498303</v>
      </c>
      <c r="J2">
        <f>VALUE(MID(E2,4,4)) + (MID(E2,2,1)-1)/4</f>
        <v>2004</v>
      </c>
      <c r="K2" s="36">
        <f>(VALUE(MID(AandE_Data[[#This Row],[Quarter &amp; Year]],4,4)) + (MID(AandE_Data[[#This Row],[Quarter &amp; Year]],2,1)-1)/4)</f>
        <v>2004</v>
      </c>
      <c r="L2" s="36">
        <v>95</v>
      </c>
    </row>
    <row r="3" spans="1:12" x14ac:dyDescent="0.25">
      <c r="A3" s="34" t="str">
        <f t="shared" ref="A3:A66" si="1">LEFT(B3, 4)</f>
        <v>2004</v>
      </c>
      <c r="B3" s="2" t="s">
        <v>1</v>
      </c>
      <c r="C3" s="10" t="s">
        <v>25</v>
      </c>
      <c r="D3" s="21" t="str">
        <f t="shared" ref="D3:D66" si="2">LEFT(C3,2)</f>
        <v>Q2</v>
      </c>
      <c r="E3" s="21" t="str">
        <f t="shared" si="0"/>
        <v>Q2 2004-05</v>
      </c>
      <c r="F3" s="22">
        <v>4556695</v>
      </c>
      <c r="G3" s="23">
        <v>4369686</v>
      </c>
      <c r="H3" s="23">
        <v>187009</v>
      </c>
      <c r="I3" s="24">
        <v>0.95895950903011939</v>
      </c>
      <c r="J3">
        <f t="shared" ref="J3:J66" si="3">VALUE(MID(E3,4,4)) + (MID(E3,2,1)-1)/4</f>
        <v>2004.25</v>
      </c>
      <c r="K3" s="29">
        <f>(VALUE(MID(AandE_Data[[#This Row],[Quarter &amp; Year]],4,4)) + (MID(AandE_Data[[#This Row],[Quarter &amp; Year]],2,1)-1)/4)</f>
        <v>2004.25</v>
      </c>
      <c r="L3" s="36">
        <v>95</v>
      </c>
    </row>
    <row r="4" spans="1:12" x14ac:dyDescent="0.25">
      <c r="A4" s="34" t="str">
        <f t="shared" si="1"/>
        <v>2004</v>
      </c>
      <c r="B4" s="2" t="s">
        <v>1</v>
      </c>
      <c r="C4" s="10" t="s">
        <v>26</v>
      </c>
      <c r="D4" s="21" t="str">
        <f t="shared" si="2"/>
        <v>Q3</v>
      </c>
      <c r="E4" s="21" t="str">
        <f t="shared" si="0"/>
        <v>Q3 2004-05</v>
      </c>
      <c r="F4" s="22">
        <v>4374927</v>
      </c>
      <c r="G4" s="23">
        <v>4235195</v>
      </c>
      <c r="H4" s="23">
        <v>139732</v>
      </c>
      <c r="I4" s="24">
        <v>0.96806072421322686</v>
      </c>
      <c r="J4">
        <f t="shared" si="3"/>
        <v>2004.5</v>
      </c>
      <c r="K4" s="29">
        <f>(VALUE(MID(AandE_Data[[#This Row],[Quarter &amp; Year]],4,4)) + (MID(AandE_Data[[#This Row],[Quarter &amp; Year]],2,1)-1)/4)</f>
        <v>2004.5</v>
      </c>
      <c r="L4" s="36">
        <v>95</v>
      </c>
    </row>
    <row r="5" spans="1:12" x14ac:dyDescent="0.25">
      <c r="A5" s="34" t="str">
        <f t="shared" si="1"/>
        <v>2004</v>
      </c>
      <c r="B5" s="2" t="s">
        <v>1</v>
      </c>
      <c r="C5" s="10" t="s">
        <v>27</v>
      </c>
      <c r="D5" s="21" t="str">
        <f t="shared" si="2"/>
        <v>Q4</v>
      </c>
      <c r="E5" s="21" t="str">
        <f t="shared" si="0"/>
        <v>Q4 2004-05</v>
      </c>
      <c r="F5" s="22">
        <v>4402980</v>
      </c>
      <c r="G5" s="23">
        <v>4285333</v>
      </c>
      <c r="H5" s="23">
        <v>117647</v>
      </c>
      <c r="I5" s="24">
        <v>0.97328014208558744</v>
      </c>
      <c r="J5">
        <f t="shared" si="3"/>
        <v>2004.75</v>
      </c>
      <c r="K5" s="29">
        <f>(VALUE(MID(AandE_Data[[#This Row],[Quarter &amp; Year]],4,4)) + (MID(AandE_Data[[#This Row],[Quarter &amp; Year]],2,1)-1)/4)</f>
        <v>2004.75</v>
      </c>
      <c r="L5" s="36">
        <v>95</v>
      </c>
    </row>
    <row r="6" spans="1:12" x14ac:dyDescent="0.25">
      <c r="A6" s="34" t="str">
        <f t="shared" si="1"/>
        <v>2005</v>
      </c>
      <c r="B6" s="3" t="s">
        <v>2</v>
      </c>
      <c r="C6" s="10" t="s">
        <v>24</v>
      </c>
      <c r="D6" s="21" t="str">
        <f t="shared" si="2"/>
        <v>Q1</v>
      </c>
      <c r="E6" s="21" t="str">
        <f t="shared" si="0"/>
        <v>Q1 2005-06</v>
      </c>
      <c r="F6" s="22">
        <v>4859578</v>
      </c>
      <c r="G6" s="23">
        <v>4774436</v>
      </c>
      <c r="H6" s="23">
        <v>85142.00000000016</v>
      </c>
      <c r="I6" s="24">
        <v>0.98247954863570452</v>
      </c>
      <c r="J6">
        <f t="shared" si="3"/>
        <v>2005</v>
      </c>
      <c r="K6" s="29">
        <f>(VALUE(MID(AandE_Data[[#This Row],[Quarter &amp; Year]],4,4)) + (MID(AandE_Data[[#This Row],[Quarter &amp; Year]],2,1)-1)/4)</f>
        <v>2005</v>
      </c>
      <c r="L6" s="36">
        <v>95</v>
      </c>
    </row>
    <row r="7" spans="1:12" x14ac:dyDescent="0.25">
      <c r="A7" s="34" t="str">
        <f t="shared" si="1"/>
        <v>2005</v>
      </c>
      <c r="B7" s="3" t="s">
        <v>2</v>
      </c>
      <c r="C7" s="10" t="s">
        <v>25</v>
      </c>
      <c r="D7" s="21" t="str">
        <f t="shared" si="2"/>
        <v>Q2</v>
      </c>
      <c r="E7" s="21" t="str">
        <f t="shared" si="0"/>
        <v>Q2 2005-06</v>
      </c>
      <c r="F7" s="22">
        <v>4744255</v>
      </c>
      <c r="G7" s="23">
        <v>4686044</v>
      </c>
      <c r="H7" s="23">
        <v>58211</v>
      </c>
      <c r="I7" s="24">
        <v>0.98773021264666427</v>
      </c>
      <c r="J7">
        <f t="shared" si="3"/>
        <v>2005.25</v>
      </c>
      <c r="K7" s="29">
        <f>(VALUE(MID(AandE_Data[[#This Row],[Quarter &amp; Year]],4,4)) + (MID(AandE_Data[[#This Row],[Quarter &amp; Year]],2,1)-1)/4)</f>
        <v>2005.25</v>
      </c>
      <c r="L7" s="36">
        <v>95</v>
      </c>
    </row>
    <row r="8" spans="1:12" x14ac:dyDescent="0.25">
      <c r="A8" s="34" t="str">
        <f t="shared" si="1"/>
        <v>2005</v>
      </c>
      <c r="B8" s="3" t="s">
        <v>2</v>
      </c>
      <c r="C8" s="10" t="s">
        <v>26</v>
      </c>
      <c r="D8" s="21" t="str">
        <f t="shared" si="2"/>
        <v>Q3</v>
      </c>
      <c r="E8" s="21" t="str">
        <f t="shared" si="0"/>
        <v>Q3 2005-06</v>
      </c>
      <c r="F8" s="22">
        <v>4605971</v>
      </c>
      <c r="G8" s="23">
        <v>4522763</v>
      </c>
      <c r="H8" s="23">
        <v>83208</v>
      </c>
      <c r="I8" s="24">
        <v>0.98193475382280959</v>
      </c>
      <c r="J8">
        <f t="shared" si="3"/>
        <v>2005.5</v>
      </c>
      <c r="K8" s="29">
        <f>(VALUE(MID(AandE_Data[[#This Row],[Quarter &amp; Year]],4,4)) + (MID(AandE_Data[[#This Row],[Quarter &amp; Year]],2,1)-1)/4)</f>
        <v>2005.5</v>
      </c>
      <c r="L8" s="36">
        <v>95</v>
      </c>
    </row>
    <row r="9" spans="1:12" x14ac:dyDescent="0.25">
      <c r="A9" s="34" t="str">
        <f t="shared" si="1"/>
        <v>2005</v>
      </c>
      <c r="B9" s="3" t="s">
        <v>2</v>
      </c>
      <c r="C9" s="10" t="s">
        <v>27</v>
      </c>
      <c r="D9" s="21" t="str">
        <f t="shared" si="2"/>
        <v>Q4</v>
      </c>
      <c r="E9" s="21" t="str">
        <f t="shared" si="0"/>
        <v>Q4 2005-06</v>
      </c>
      <c r="F9" s="22">
        <v>4549360</v>
      </c>
      <c r="G9" s="23">
        <v>4435304</v>
      </c>
      <c r="H9" s="23">
        <v>114056</v>
      </c>
      <c r="I9" s="24">
        <v>0.9749292208134771</v>
      </c>
      <c r="J9">
        <f t="shared" si="3"/>
        <v>2005.75</v>
      </c>
      <c r="K9" s="29">
        <f>(VALUE(MID(AandE_Data[[#This Row],[Quarter &amp; Year]],4,4)) + (MID(AandE_Data[[#This Row],[Quarter &amp; Year]],2,1)-1)/4)</f>
        <v>2005.75</v>
      </c>
      <c r="L9" s="36">
        <v>95</v>
      </c>
    </row>
    <row r="10" spans="1:12" x14ac:dyDescent="0.25">
      <c r="A10" s="34" t="str">
        <f t="shared" si="1"/>
        <v>2006</v>
      </c>
      <c r="B10" s="3" t="s">
        <v>3</v>
      </c>
      <c r="C10" s="10" t="s">
        <v>24</v>
      </c>
      <c r="D10" s="21" t="str">
        <f t="shared" si="2"/>
        <v>Q1</v>
      </c>
      <c r="E10" s="21" t="str">
        <f t="shared" si="0"/>
        <v>Q1 2006-07</v>
      </c>
      <c r="F10" s="22">
        <v>4891724</v>
      </c>
      <c r="G10" s="23">
        <v>4810647</v>
      </c>
      <c r="H10" s="23">
        <v>81077</v>
      </c>
      <c r="I10" s="24">
        <v>0.98342567978078899</v>
      </c>
      <c r="J10">
        <f t="shared" si="3"/>
        <v>2006</v>
      </c>
      <c r="K10" s="29">
        <f>(VALUE(MID(AandE_Data[[#This Row],[Quarter &amp; Year]],4,4)) + (MID(AandE_Data[[#This Row],[Quarter &amp; Year]],2,1)-1)/4)</f>
        <v>2006</v>
      </c>
      <c r="L10" s="36">
        <v>95</v>
      </c>
    </row>
    <row r="11" spans="1:12" x14ac:dyDescent="0.25">
      <c r="A11" s="34" t="str">
        <f t="shared" si="1"/>
        <v>2006</v>
      </c>
      <c r="B11" s="3" t="s">
        <v>3</v>
      </c>
      <c r="C11" s="10" t="s">
        <v>25</v>
      </c>
      <c r="D11" s="21" t="str">
        <f t="shared" si="2"/>
        <v>Q2</v>
      </c>
      <c r="E11" s="21" t="str">
        <f t="shared" si="0"/>
        <v>Q2 2006-07</v>
      </c>
      <c r="F11" s="22">
        <v>4892182</v>
      </c>
      <c r="G11" s="23">
        <v>4817833</v>
      </c>
      <c r="H11" s="23">
        <v>74349</v>
      </c>
      <c r="I11" s="24">
        <v>0.9848024869066605</v>
      </c>
      <c r="J11">
        <f t="shared" si="3"/>
        <v>2006.25</v>
      </c>
      <c r="K11" s="29">
        <f>(VALUE(MID(AandE_Data[[#This Row],[Quarter &amp; Year]],4,4)) + (MID(AandE_Data[[#This Row],[Quarter &amp; Year]],2,1)-1)/4)</f>
        <v>2006.25</v>
      </c>
      <c r="L11" s="36">
        <v>95</v>
      </c>
    </row>
    <row r="12" spans="1:12" x14ac:dyDescent="0.25">
      <c r="A12" s="34" t="str">
        <f t="shared" si="1"/>
        <v>2006</v>
      </c>
      <c r="B12" s="3" t="s">
        <v>3</v>
      </c>
      <c r="C12" s="10" t="s">
        <v>26</v>
      </c>
      <c r="D12" s="21" t="str">
        <f t="shared" si="2"/>
        <v>Q3</v>
      </c>
      <c r="E12" s="21" t="str">
        <f t="shared" si="0"/>
        <v>Q3 2006-07</v>
      </c>
      <c r="F12" s="22">
        <v>4559139</v>
      </c>
      <c r="G12" s="23">
        <v>4478352</v>
      </c>
      <c r="H12" s="23">
        <v>80787</v>
      </c>
      <c r="I12" s="24">
        <v>0.98228020685484696</v>
      </c>
      <c r="J12">
        <f t="shared" si="3"/>
        <v>2006.5</v>
      </c>
      <c r="K12" s="29">
        <f>(VALUE(MID(AandE_Data[[#This Row],[Quarter &amp; Year]],4,4)) + (MID(AandE_Data[[#This Row],[Quarter &amp; Year]],2,1)-1)/4)</f>
        <v>2006.5</v>
      </c>
      <c r="L12" s="36">
        <v>95</v>
      </c>
    </row>
    <row r="13" spans="1:12" x14ac:dyDescent="0.25">
      <c r="A13" s="34" t="str">
        <f t="shared" si="1"/>
        <v>2006</v>
      </c>
      <c r="B13" s="3" t="s">
        <v>3</v>
      </c>
      <c r="C13" s="10" t="s">
        <v>27</v>
      </c>
      <c r="D13" s="21" t="str">
        <f t="shared" si="2"/>
        <v>Q4</v>
      </c>
      <c r="E13" s="21" t="str">
        <f t="shared" si="0"/>
        <v>Q4 2006-07</v>
      </c>
      <c r="F13" s="22">
        <v>4579230</v>
      </c>
      <c r="G13" s="23">
        <v>4472110</v>
      </c>
      <c r="H13" s="23">
        <v>107120</v>
      </c>
      <c r="I13" s="24">
        <v>0.97660742089827324</v>
      </c>
      <c r="J13">
        <f t="shared" si="3"/>
        <v>2006.75</v>
      </c>
      <c r="K13" s="29">
        <f>(VALUE(MID(AandE_Data[[#This Row],[Quarter &amp; Year]],4,4)) + (MID(AandE_Data[[#This Row],[Quarter &amp; Year]],2,1)-1)/4)</f>
        <v>2006.75</v>
      </c>
      <c r="L13" s="36">
        <v>95</v>
      </c>
    </row>
    <row r="14" spans="1:12" x14ac:dyDescent="0.25">
      <c r="A14" s="34" t="str">
        <f t="shared" si="1"/>
        <v>2007</v>
      </c>
      <c r="B14" s="4" t="s">
        <v>4</v>
      </c>
      <c r="C14" s="10" t="s">
        <v>24</v>
      </c>
      <c r="D14" s="21" t="str">
        <f t="shared" si="2"/>
        <v>Q1</v>
      </c>
      <c r="E14" s="21" t="str">
        <f t="shared" si="0"/>
        <v>Q1 2007-08</v>
      </c>
      <c r="F14" s="22">
        <v>4924326</v>
      </c>
      <c r="G14" s="23">
        <v>4838495</v>
      </c>
      <c r="H14" s="23">
        <v>85831</v>
      </c>
      <c r="I14" s="24">
        <v>0.98257000044270015</v>
      </c>
      <c r="J14">
        <f t="shared" si="3"/>
        <v>2007</v>
      </c>
      <c r="K14" s="29">
        <f>(VALUE(MID(AandE_Data[[#This Row],[Quarter &amp; Year]],4,4)) + (MID(AandE_Data[[#This Row],[Quarter &amp; Year]],2,1)-1)/4)</f>
        <v>2007</v>
      </c>
      <c r="L14" s="36">
        <v>95</v>
      </c>
    </row>
    <row r="15" spans="1:12" x14ac:dyDescent="0.25">
      <c r="A15" s="34" t="str">
        <f t="shared" si="1"/>
        <v>2007</v>
      </c>
      <c r="B15" s="4" t="s">
        <v>4</v>
      </c>
      <c r="C15" s="10" t="s">
        <v>25</v>
      </c>
      <c r="D15" s="21" t="str">
        <f t="shared" si="2"/>
        <v>Q2</v>
      </c>
      <c r="E15" s="21" t="str">
        <f t="shared" si="0"/>
        <v>Q2 2007-08</v>
      </c>
      <c r="F15" s="22">
        <v>4847670</v>
      </c>
      <c r="G15" s="23">
        <v>4768367</v>
      </c>
      <c r="H15" s="23">
        <v>79303</v>
      </c>
      <c r="I15" s="24">
        <v>0.98364100691672496</v>
      </c>
      <c r="J15">
        <f t="shared" si="3"/>
        <v>2007.25</v>
      </c>
      <c r="K15" s="29">
        <f>(VALUE(MID(AandE_Data[[#This Row],[Quarter &amp; Year]],4,4)) + (MID(AandE_Data[[#This Row],[Quarter &amp; Year]],2,1)-1)/4)</f>
        <v>2007.25</v>
      </c>
      <c r="L15" s="36">
        <v>95</v>
      </c>
    </row>
    <row r="16" spans="1:12" x14ac:dyDescent="0.25">
      <c r="A16" s="34" t="str">
        <f t="shared" si="1"/>
        <v>2007</v>
      </c>
      <c r="B16" s="4" t="s">
        <v>4</v>
      </c>
      <c r="C16" s="10" t="s">
        <v>26</v>
      </c>
      <c r="D16" s="21" t="str">
        <f t="shared" si="2"/>
        <v>Q3</v>
      </c>
      <c r="E16" s="21" t="str">
        <f t="shared" si="0"/>
        <v>Q3 2007-08</v>
      </c>
      <c r="F16" s="22">
        <v>4698115</v>
      </c>
      <c r="G16" s="23">
        <v>4575355</v>
      </c>
      <c r="H16" s="23">
        <v>122760</v>
      </c>
      <c r="I16" s="24">
        <v>0.9738703714149185</v>
      </c>
      <c r="J16">
        <f t="shared" si="3"/>
        <v>2007.5</v>
      </c>
      <c r="K16" s="29">
        <f>(VALUE(MID(AandE_Data[[#This Row],[Quarter &amp; Year]],4,4)) + (MID(AandE_Data[[#This Row],[Quarter &amp; Year]],2,1)-1)/4)</f>
        <v>2007.5</v>
      </c>
      <c r="L16" s="36">
        <v>95</v>
      </c>
    </row>
    <row r="17" spans="1:12" x14ac:dyDescent="0.25">
      <c r="A17" s="34" t="str">
        <f t="shared" si="1"/>
        <v>2007</v>
      </c>
      <c r="B17" s="4" t="s">
        <v>4</v>
      </c>
      <c r="C17" s="10" t="s">
        <v>27</v>
      </c>
      <c r="D17" s="21" t="str">
        <f t="shared" si="2"/>
        <v>Q4</v>
      </c>
      <c r="E17" s="21" t="str">
        <f t="shared" si="0"/>
        <v>Q4 2007-08</v>
      </c>
      <c r="F17" s="22">
        <v>4606720</v>
      </c>
      <c r="G17" s="23">
        <v>4490940</v>
      </c>
      <c r="H17" s="23">
        <v>115780</v>
      </c>
      <c r="I17" s="24">
        <v>0.97486715059738815</v>
      </c>
      <c r="J17">
        <f t="shared" si="3"/>
        <v>2007.75</v>
      </c>
      <c r="K17" s="29">
        <f>(VALUE(MID(AandE_Data[[#This Row],[Quarter &amp; Year]],4,4)) + (MID(AandE_Data[[#This Row],[Quarter &amp; Year]],2,1)-1)/4)</f>
        <v>2007.75</v>
      </c>
      <c r="L17" s="36">
        <v>95</v>
      </c>
    </row>
    <row r="18" spans="1:12" x14ac:dyDescent="0.25">
      <c r="A18" s="34" t="str">
        <f t="shared" si="1"/>
        <v>2008</v>
      </c>
      <c r="B18" s="4" t="s">
        <v>5</v>
      </c>
      <c r="C18" s="10" t="s">
        <v>24</v>
      </c>
      <c r="D18" s="21" t="str">
        <f t="shared" si="2"/>
        <v>Q1</v>
      </c>
      <c r="E18" s="21" t="str">
        <f t="shared" si="0"/>
        <v>Q1 2008-09</v>
      </c>
      <c r="F18" s="22">
        <v>4987454</v>
      </c>
      <c r="G18" s="23">
        <v>4904285</v>
      </c>
      <c r="H18" s="23">
        <v>83169</v>
      </c>
      <c r="I18" s="24">
        <v>0.98332435747778324</v>
      </c>
      <c r="J18">
        <f t="shared" si="3"/>
        <v>2008</v>
      </c>
      <c r="K18" s="29">
        <f>(VALUE(MID(AandE_Data[[#This Row],[Quarter &amp; Year]],4,4)) + (MID(AandE_Data[[#This Row],[Quarter &amp; Year]],2,1)-1)/4)</f>
        <v>2008</v>
      </c>
      <c r="L18" s="36">
        <v>95</v>
      </c>
    </row>
    <row r="19" spans="1:12" x14ac:dyDescent="0.25">
      <c r="A19" s="34" t="str">
        <f t="shared" si="1"/>
        <v>2008</v>
      </c>
      <c r="B19" s="4" t="s">
        <v>5</v>
      </c>
      <c r="C19" s="10" t="s">
        <v>25</v>
      </c>
      <c r="D19" s="21" t="str">
        <f t="shared" si="2"/>
        <v>Q2</v>
      </c>
      <c r="E19" s="21" t="str">
        <f t="shared" si="0"/>
        <v>Q2 2008-09</v>
      </c>
      <c r="F19" s="22">
        <v>4930216</v>
      </c>
      <c r="G19" s="23">
        <v>4864775</v>
      </c>
      <c r="H19" s="23">
        <v>65441</v>
      </c>
      <c r="I19" s="24">
        <v>0.98672654504386825</v>
      </c>
      <c r="J19">
        <f t="shared" si="3"/>
        <v>2008.25</v>
      </c>
      <c r="K19" s="29">
        <f>(VALUE(MID(AandE_Data[[#This Row],[Quarter &amp; Year]],4,4)) + (MID(AandE_Data[[#This Row],[Quarter &amp; Year]],2,1)-1)/4)</f>
        <v>2008.25</v>
      </c>
      <c r="L19" s="36">
        <v>95</v>
      </c>
    </row>
    <row r="20" spans="1:12" x14ac:dyDescent="0.25">
      <c r="A20" s="34" t="str">
        <f t="shared" si="1"/>
        <v>2008</v>
      </c>
      <c r="B20" s="4" t="s">
        <v>5</v>
      </c>
      <c r="C20" s="10" t="s">
        <v>26</v>
      </c>
      <c r="D20" s="21" t="str">
        <f t="shared" si="2"/>
        <v>Q3</v>
      </c>
      <c r="E20" s="21" t="str">
        <f t="shared" si="0"/>
        <v>Q3 2008-09</v>
      </c>
      <c r="F20" s="22">
        <v>4865130</v>
      </c>
      <c r="G20" s="23">
        <v>4743651</v>
      </c>
      <c r="H20" s="23">
        <v>121479</v>
      </c>
      <c r="I20" s="24">
        <v>0.97503067749474326</v>
      </c>
      <c r="J20">
        <f t="shared" si="3"/>
        <v>2008.5</v>
      </c>
      <c r="K20" s="29">
        <f>(VALUE(MID(AandE_Data[[#This Row],[Quarter &amp; Year]],4,4)) + (MID(AandE_Data[[#This Row],[Quarter &amp; Year]],2,1)-1)/4)</f>
        <v>2008.5</v>
      </c>
      <c r="L20" s="36">
        <v>95</v>
      </c>
    </row>
    <row r="21" spans="1:12" x14ac:dyDescent="0.25">
      <c r="A21" s="34" t="str">
        <f t="shared" si="1"/>
        <v>2008</v>
      </c>
      <c r="B21" s="4" t="s">
        <v>5</v>
      </c>
      <c r="C21" s="10" t="s">
        <v>27</v>
      </c>
      <c r="D21" s="21" t="str">
        <f t="shared" si="2"/>
        <v>Q4</v>
      </c>
      <c r="E21" s="21" t="str">
        <f t="shared" si="0"/>
        <v>Q4 2008-09</v>
      </c>
      <c r="F21" s="22">
        <v>4805544</v>
      </c>
      <c r="G21" s="23">
        <v>4696728</v>
      </c>
      <c r="H21" s="23">
        <v>108816</v>
      </c>
      <c r="I21" s="24">
        <v>0.97735615364254291</v>
      </c>
      <c r="J21">
        <f t="shared" si="3"/>
        <v>2008.75</v>
      </c>
      <c r="K21" s="29">
        <f>(VALUE(MID(AandE_Data[[#This Row],[Quarter &amp; Year]],4,4)) + (MID(AandE_Data[[#This Row],[Quarter &amp; Year]],2,1)-1)/4)</f>
        <v>2008.75</v>
      </c>
      <c r="L21" s="36">
        <v>95</v>
      </c>
    </row>
    <row r="22" spans="1:12" x14ac:dyDescent="0.25">
      <c r="A22" s="34" t="str">
        <f t="shared" si="1"/>
        <v>2009</v>
      </c>
      <c r="B22" s="4" t="s">
        <v>6</v>
      </c>
      <c r="C22" s="10" t="s">
        <v>24</v>
      </c>
      <c r="D22" s="21" t="str">
        <f t="shared" si="2"/>
        <v>Q1</v>
      </c>
      <c r="E22" s="21" t="str">
        <f t="shared" si="0"/>
        <v>Q1 2009-10</v>
      </c>
      <c r="F22" s="22">
        <v>5291643</v>
      </c>
      <c r="G22" s="23">
        <v>5216950</v>
      </c>
      <c r="H22" s="23">
        <v>74693</v>
      </c>
      <c r="I22" s="24">
        <v>0.98588472427183771</v>
      </c>
      <c r="J22">
        <f t="shared" si="3"/>
        <v>2009</v>
      </c>
      <c r="K22" s="29">
        <f>(VALUE(MID(AandE_Data[[#This Row],[Quarter &amp; Year]],4,4)) + (MID(AandE_Data[[#This Row],[Quarter &amp; Year]],2,1)-1)/4)</f>
        <v>2009</v>
      </c>
      <c r="L22" s="36">
        <v>95</v>
      </c>
    </row>
    <row r="23" spans="1:12" x14ac:dyDescent="0.25">
      <c r="A23" s="34" t="str">
        <f t="shared" si="1"/>
        <v>2009</v>
      </c>
      <c r="B23" s="4" t="s">
        <v>6</v>
      </c>
      <c r="C23" s="10" t="s">
        <v>25</v>
      </c>
      <c r="D23" s="21" t="str">
        <f t="shared" si="2"/>
        <v>Q2</v>
      </c>
      <c r="E23" s="21" t="str">
        <f t="shared" si="0"/>
        <v>Q2 2009-10</v>
      </c>
      <c r="F23" s="22">
        <v>5180582</v>
      </c>
      <c r="G23" s="23">
        <v>5114559</v>
      </c>
      <c r="H23" s="23">
        <v>66023</v>
      </c>
      <c r="I23" s="24">
        <v>0.98725567899513988</v>
      </c>
      <c r="J23">
        <f t="shared" si="3"/>
        <v>2009.25</v>
      </c>
      <c r="K23" s="29">
        <f>(VALUE(MID(AandE_Data[[#This Row],[Quarter &amp; Year]],4,4)) + (MID(AandE_Data[[#This Row],[Quarter &amp; Year]],2,1)-1)/4)</f>
        <v>2009.25</v>
      </c>
      <c r="L23" s="36">
        <v>95</v>
      </c>
    </row>
    <row r="24" spans="1:12" x14ac:dyDescent="0.25">
      <c r="A24" s="34" t="str">
        <f t="shared" si="1"/>
        <v>2009</v>
      </c>
      <c r="B24" s="4" t="s">
        <v>6</v>
      </c>
      <c r="C24" s="10" t="s">
        <v>26</v>
      </c>
      <c r="D24" s="21" t="str">
        <f t="shared" si="2"/>
        <v>Q3</v>
      </c>
      <c r="E24" s="21" t="str">
        <f t="shared" si="0"/>
        <v>Q3 2009-10</v>
      </c>
      <c r="F24" s="22">
        <v>5126374</v>
      </c>
      <c r="G24" s="23">
        <v>5015636</v>
      </c>
      <c r="H24" s="23">
        <v>110738</v>
      </c>
      <c r="I24" s="24">
        <v>0.97839837670837126</v>
      </c>
      <c r="J24">
        <f t="shared" si="3"/>
        <v>2009.5</v>
      </c>
      <c r="K24" s="29">
        <f>(VALUE(MID(AandE_Data[[#This Row],[Quarter &amp; Year]],4,4)) + (MID(AandE_Data[[#This Row],[Quarter &amp; Year]],2,1)-1)/4)</f>
        <v>2009.5</v>
      </c>
      <c r="L24" s="36">
        <v>95</v>
      </c>
    </row>
    <row r="25" spans="1:12" x14ac:dyDescent="0.25">
      <c r="A25" s="34" t="str">
        <f t="shared" si="1"/>
        <v>2009</v>
      </c>
      <c r="B25" s="4" t="s">
        <v>6</v>
      </c>
      <c r="C25" s="10" t="s">
        <v>27</v>
      </c>
      <c r="D25" s="21" t="str">
        <f t="shared" si="2"/>
        <v>Q4</v>
      </c>
      <c r="E25" s="21" t="str">
        <f t="shared" si="0"/>
        <v>Q4 2009-10</v>
      </c>
      <c r="F25" s="22">
        <v>4913309</v>
      </c>
      <c r="G25" s="23">
        <v>4811146</v>
      </c>
      <c r="H25" s="23">
        <v>102163</v>
      </c>
      <c r="I25" s="24">
        <v>0.97920688481021645</v>
      </c>
      <c r="J25">
        <f t="shared" si="3"/>
        <v>2009.75</v>
      </c>
      <c r="K25" s="29">
        <f>(VALUE(MID(AandE_Data[[#This Row],[Quarter &amp; Year]],4,4)) + (MID(AandE_Data[[#This Row],[Quarter &amp; Year]],2,1)-1)/4)</f>
        <v>2009.75</v>
      </c>
      <c r="L25" s="36">
        <v>95</v>
      </c>
    </row>
    <row r="26" spans="1:12" x14ac:dyDescent="0.25">
      <c r="A26" s="34" t="str">
        <f t="shared" si="1"/>
        <v>2010</v>
      </c>
      <c r="B26" s="4" t="s">
        <v>7</v>
      </c>
      <c r="C26" s="10" t="s">
        <v>24</v>
      </c>
      <c r="D26" s="21" t="str">
        <f t="shared" si="2"/>
        <v>Q1</v>
      </c>
      <c r="E26" s="21" t="str">
        <f t="shared" si="0"/>
        <v>Q1 2010-11</v>
      </c>
      <c r="F26" s="22">
        <v>5523833</v>
      </c>
      <c r="G26" s="23">
        <v>5437161</v>
      </c>
      <c r="H26" s="23">
        <v>86672</v>
      </c>
      <c r="I26" s="24">
        <v>0.98430944599519932</v>
      </c>
      <c r="J26">
        <f t="shared" si="3"/>
        <v>2010</v>
      </c>
      <c r="K26" s="29">
        <f>(VALUE(MID(AandE_Data[[#This Row],[Quarter &amp; Year]],4,4)) + (MID(AandE_Data[[#This Row],[Quarter &amp; Year]],2,1)-1)/4)</f>
        <v>2010</v>
      </c>
      <c r="L26" s="36">
        <v>95</v>
      </c>
    </row>
    <row r="27" spans="1:12" x14ac:dyDescent="0.25">
      <c r="A27" s="34" t="str">
        <f t="shared" si="1"/>
        <v>2010</v>
      </c>
      <c r="B27" s="4" t="s">
        <v>7</v>
      </c>
      <c r="C27" s="10" t="s">
        <v>25</v>
      </c>
      <c r="D27" s="21" t="str">
        <f t="shared" si="2"/>
        <v>Q2</v>
      </c>
      <c r="E27" s="21" t="str">
        <f t="shared" si="0"/>
        <v>Q2 2010-11</v>
      </c>
      <c r="F27" s="22">
        <v>5375808</v>
      </c>
      <c r="G27" s="23">
        <v>5269009</v>
      </c>
      <c r="H27" s="23">
        <v>106799</v>
      </c>
      <c r="I27" s="24">
        <v>0.98013340506208557</v>
      </c>
      <c r="J27">
        <f t="shared" si="3"/>
        <v>2010.25</v>
      </c>
      <c r="K27" s="29">
        <f>(VALUE(MID(AandE_Data[[#This Row],[Quarter &amp; Year]],4,4)) + (MID(AandE_Data[[#This Row],[Quarter &amp; Year]],2,1)-1)/4)</f>
        <v>2010.25</v>
      </c>
      <c r="L27" s="36">
        <v>95</v>
      </c>
    </row>
    <row r="28" spans="1:12" x14ac:dyDescent="0.25">
      <c r="A28" s="34" t="str">
        <f t="shared" si="1"/>
        <v>2010</v>
      </c>
      <c r="B28" s="4" t="s">
        <v>7</v>
      </c>
      <c r="C28" s="10" t="s">
        <v>26</v>
      </c>
      <c r="D28" s="21" t="str">
        <f t="shared" si="2"/>
        <v>Q3</v>
      </c>
      <c r="E28" s="21" t="str">
        <f t="shared" si="0"/>
        <v>Q3 2010-11</v>
      </c>
      <c r="F28" s="22">
        <v>5250720</v>
      </c>
      <c r="G28" s="23">
        <v>5066457</v>
      </c>
      <c r="H28" s="23">
        <v>184263</v>
      </c>
      <c r="I28" s="24">
        <v>0.96490709845506906</v>
      </c>
      <c r="J28">
        <f t="shared" si="3"/>
        <v>2010.5</v>
      </c>
      <c r="K28" s="29">
        <f>(VALUE(MID(AandE_Data[[#This Row],[Quarter &amp; Year]],4,4)) + (MID(AandE_Data[[#This Row],[Quarter &amp; Year]],2,1)-1)/4)</f>
        <v>2010.5</v>
      </c>
      <c r="L28" s="36">
        <v>95</v>
      </c>
    </row>
    <row r="29" spans="1:12" x14ac:dyDescent="0.25">
      <c r="A29" s="34" t="str">
        <f t="shared" si="1"/>
        <v>2010</v>
      </c>
      <c r="B29" s="4" t="s">
        <v>7</v>
      </c>
      <c r="C29" s="10" t="s">
        <v>27</v>
      </c>
      <c r="D29" s="21" t="str">
        <f t="shared" si="2"/>
        <v>Q4</v>
      </c>
      <c r="E29" s="21" t="str">
        <f t="shared" si="0"/>
        <v>Q4 2010-11</v>
      </c>
      <c r="F29" s="22">
        <v>5230624</v>
      </c>
      <c r="G29" s="23">
        <v>5051244</v>
      </c>
      <c r="H29" s="23">
        <v>179380</v>
      </c>
      <c r="I29" s="24">
        <v>0.96570581253785404</v>
      </c>
      <c r="J29">
        <f t="shared" si="3"/>
        <v>2010.75</v>
      </c>
      <c r="K29" s="29">
        <f>(VALUE(MID(AandE_Data[[#This Row],[Quarter &amp; Year]],4,4)) + (MID(AandE_Data[[#This Row],[Quarter &amp; Year]],2,1)-1)/4)</f>
        <v>2010.75</v>
      </c>
      <c r="L29" s="36">
        <v>95</v>
      </c>
    </row>
    <row r="30" spans="1:12" x14ac:dyDescent="0.25">
      <c r="A30" s="34" t="str">
        <f t="shared" si="1"/>
        <v>2011</v>
      </c>
      <c r="B30" s="4" t="s">
        <v>8</v>
      </c>
      <c r="C30" s="10" t="s">
        <v>24</v>
      </c>
      <c r="D30" s="21" t="str">
        <f t="shared" si="2"/>
        <v>Q1</v>
      </c>
      <c r="E30" s="21" t="str">
        <f t="shared" si="0"/>
        <v>Q1 2011-12</v>
      </c>
      <c r="F30" s="22">
        <v>5501737</v>
      </c>
      <c r="G30" s="25">
        <v>5339389</v>
      </c>
      <c r="H30" s="25">
        <v>162348</v>
      </c>
      <c r="I30" s="26">
        <v>0.97049150113864036</v>
      </c>
      <c r="J30">
        <f t="shared" si="3"/>
        <v>2011</v>
      </c>
      <c r="K30" s="29">
        <f>(VALUE(MID(AandE_Data[[#This Row],[Quarter &amp; Year]],4,4)) + (MID(AandE_Data[[#This Row],[Quarter &amp; Year]],2,1)-1)/4)</f>
        <v>2011</v>
      </c>
      <c r="L30" s="36">
        <v>95</v>
      </c>
    </row>
    <row r="31" spans="1:12" x14ac:dyDescent="0.25">
      <c r="A31" s="34" t="str">
        <f t="shared" si="1"/>
        <v>2011</v>
      </c>
      <c r="B31" s="4" t="s">
        <v>8</v>
      </c>
      <c r="C31" s="10" t="s">
        <v>25</v>
      </c>
      <c r="D31" s="21" t="str">
        <f t="shared" si="2"/>
        <v>Q2</v>
      </c>
      <c r="E31" s="21" t="str">
        <f t="shared" si="0"/>
        <v>Q2 2011-12</v>
      </c>
      <c r="F31" s="22">
        <v>5344832</v>
      </c>
      <c r="G31" s="25">
        <v>5199989</v>
      </c>
      <c r="H31" s="25">
        <v>144843</v>
      </c>
      <c r="I31" s="26">
        <v>0.97290036431453786</v>
      </c>
      <c r="J31">
        <f t="shared" si="3"/>
        <v>2011.25</v>
      </c>
      <c r="K31" s="29">
        <f>(VALUE(MID(AandE_Data[[#This Row],[Quarter &amp; Year]],4,4)) + (MID(AandE_Data[[#This Row],[Quarter &amp; Year]],2,1)-1)/4)</f>
        <v>2011.25</v>
      </c>
      <c r="L31" s="36">
        <v>95</v>
      </c>
    </row>
    <row r="32" spans="1:12" x14ac:dyDescent="0.25">
      <c r="A32" s="34" t="str">
        <f t="shared" si="1"/>
        <v>2011</v>
      </c>
      <c r="B32" s="4" t="s">
        <v>8</v>
      </c>
      <c r="C32" s="10" t="s">
        <v>26</v>
      </c>
      <c r="D32" s="21" t="str">
        <f t="shared" si="2"/>
        <v>Q3</v>
      </c>
      <c r="E32" s="21" t="str">
        <f t="shared" si="0"/>
        <v>Q3 2011-12</v>
      </c>
      <c r="F32" s="22">
        <v>5253575</v>
      </c>
      <c r="G32" s="25">
        <v>5061655</v>
      </c>
      <c r="H32" s="25">
        <v>191920</v>
      </c>
      <c r="I32" s="26">
        <v>0.96346868560932319</v>
      </c>
      <c r="J32">
        <f t="shared" si="3"/>
        <v>2011.5</v>
      </c>
      <c r="K32" s="29">
        <f>(VALUE(MID(AandE_Data[[#This Row],[Quarter &amp; Year]],4,4)) + (MID(AandE_Data[[#This Row],[Quarter &amp; Year]],2,1)-1)/4)</f>
        <v>2011.5</v>
      </c>
      <c r="L32" s="36">
        <v>95</v>
      </c>
    </row>
    <row r="33" spans="1:12" x14ac:dyDescent="0.25">
      <c r="A33" s="34" t="str">
        <f t="shared" si="1"/>
        <v>2011</v>
      </c>
      <c r="B33" s="4" t="s">
        <v>8</v>
      </c>
      <c r="C33" s="10" t="s">
        <v>27</v>
      </c>
      <c r="D33" s="21" t="str">
        <f t="shared" si="2"/>
        <v>Q4</v>
      </c>
      <c r="E33" s="21" t="str">
        <f t="shared" si="0"/>
        <v>Q4 2011-12</v>
      </c>
      <c r="F33" s="22">
        <v>5381258</v>
      </c>
      <c r="G33" s="25">
        <v>5155426</v>
      </c>
      <c r="H33" s="25">
        <v>225832</v>
      </c>
      <c r="I33" s="26">
        <v>0.9580336047816328</v>
      </c>
      <c r="J33">
        <f t="shared" si="3"/>
        <v>2011.75</v>
      </c>
      <c r="K33" s="29">
        <f>(VALUE(MID(AandE_Data[[#This Row],[Quarter &amp; Year]],4,4)) + (MID(AandE_Data[[#This Row],[Quarter &amp; Year]],2,1)-1)/4)</f>
        <v>2011.75</v>
      </c>
      <c r="L33" s="36">
        <v>95</v>
      </c>
    </row>
    <row r="34" spans="1:12" x14ac:dyDescent="0.25">
      <c r="A34" s="34" t="str">
        <f t="shared" si="1"/>
        <v>2012</v>
      </c>
      <c r="B34" s="4" t="s">
        <v>9</v>
      </c>
      <c r="C34" s="10" t="s">
        <v>24</v>
      </c>
      <c r="D34" s="21" t="str">
        <f t="shared" si="2"/>
        <v>Q1</v>
      </c>
      <c r="E34" s="21" t="str">
        <f t="shared" ref="E34:E65" si="4">D34 &amp;" "&amp; B34</f>
        <v>Q1 2012-13</v>
      </c>
      <c r="F34" s="22">
        <v>5587707</v>
      </c>
      <c r="G34" s="25">
        <v>5399955</v>
      </c>
      <c r="H34" s="25">
        <v>187752</v>
      </c>
      <c r="I34" s="26">
        <v>0.96639909716096428</v>
      </c>
      <c r="J34">
        <f t="shared" si="3"/>
        <v>2012</v>
      </c>
      <c r="K34" s="29">
        <f>(VALUE(MID(AandE_Data[[#This Row],[Quarter &amp; Year]],4,4)) + (MID(AandE_Data[[#This Row],[Quarter &amp; Year]],2,1)-1)/4)</f>
        <v>2012</v>
      </c>
      <c r="L34" s="36">
        <v>95</v>
      </c>
    </row>
    <row r="35" spans="1:12" x14ac:dyDescent="0.25">
      <c r="A35" s="34" t="str">
        <f t="shared" si="1"/>
        <v>2012</v>
      </c>
      <c r="B35" s="4" t="s">
        <v>9</v>
      </c>
      <c r="C35" s="10" t="s">
        <v>25</v>
      </c>
      <c r="D35" s="21" t="str">
        <f t="shared" si="2"/>
        <v>Q2</v>
      </c>
      <c r="E35" s="21" t="str">
        <f t="shared" si="4"/>
        <v>Q2 2012-13</v>
      </c>
      <c r="F35" s="22">
        <v>5493644</v>
      </c>
      <c r="G35" s="25">
        <v>5325723</v>
      </c>
      <c r="H35" s="25">
        <v>167921</v>
      </c>
      <c r="I35" s="26">
        <v>0.96943358543072689</v>
      </c>
      <c r="J35">
        <f t="shared" si="3"/>
        <v>2012.25</v>
      </c>
      <c r="K35" s="29">
        <f>(VALUE(MID(AandE_Data[[#This Row],[Quarter &amp; Year]],4,4)) + (MID(AandE_Data[[#This Row],[Quarter &amp; Year]],2,1)-1)/4)</f>
        <v>2012.25</v>
      </c>
      <c r="L35" s="36">
        <v>95</v>
      </c>
    </row>
    <row r="36" spans="1:12" x14ac:dyDescent="0.25">
      <c r="A36" s="34" t="str">
        <f t="shared" si="1"/>
        <v>2012</v>
      </c>
      <c r="B36" s="4" t="s">
        <v>9</v>
      </c>
      <c r="C36" s="10" t="s">
        <v>26</v>
      </c>
      <c r="D36" s="21" t="str">
        <f t="shared" si="2"/>
        <v>Q3</v>
      </c>
      <c r="E36" s="21" t="str">
        <f t="shared" si="4"/>
        <v>Q3 2012-13</v>
      </c>
      <c r="F36" s="22">
        <v>5351447</v>
      </c>
      <c r="G36" s="25">
        <v>5119478</v>
      </c>
      <c r="H36" s="25">
        <v>231969</v>
      </c>
      <c r="I36" s="26">
        <v>0.95665303234807331</v>
      </c>
      <c r="J36">
        <f t="shared" si="3"/>
        <v>2012.5</v>
      </c>
      <c r="K36" s="29">
        <f>(VALUE(MID(AandE_Data[[#This Row],[Quarter &amp; Year]],4,4)) + (MID(AandE_Data[[#This Row],[Quarter &amp; Year]],2,1)-1)/4)</f>
        <v>2012.5</v>
      </c>
      <c r="L36" s="36">
        <v>95</v>
      </c>
    </row>
    <row r="37" spans="1:12" x14ac:dyDescent="0.25">
      <c r="A37" s="34" t="str">
        <f t="shared" si="1"/>
        <v>2012</v>
      </c>
      <c r="B37" s="4" t="s">
        <v>9</v>
      </c>
      <c r="C37" s="10" t="s">
        <v>27</v>
      </c>
      <c r="D37" s="21" t="str">
        <f t="shared" si="2"/>
        <v>Q4</v>
      </c>
      <c r="E37" s="21" t="str">
        <f t="shared" si="4"/>
        <v>Q4 2012-13</v>
      </c>
      <c r="F37" s="22">
        <v>5305839</v>
      </c>
      <c r="G37" s="25">
        <v>4992070</v>
      </c>
      <c r="H37" s="25">
        <v>313769</v>
      </c>
      <c r="I37" s="26">
        <v>0.94086345250958425</v>
      </c>
      <c r="J37">
        <f t="shared" si="3"/>
        <v>2012.75</v>
      </c>
      <c r="K37" s="29">
        <f>(VALUE(MID(AandE_Data[[#This Row],[Quarter &amp; Year]],4,4)) + (MID(AandE_Data[[#This Row],[Quarter &amp; Year]],2,1)-1)/4)</f>
        <v>2012.75</v>
      </c>
      <c r="L37" s="36">
        <v>95</v>
      </c>
    </row>
    <row r="38" spans="1:12" x14ac:dyDescent="0.25">
      <c r="A38" s="34" t="str">
        <f t="shared" si="1"/>
        <v>2013</v>
      </c>
      <c r="B38" s="4" t="s">
        <v>10</v>
      </c>
      <c r="C38" s="10" t="s">
        <v>24</v>
      </c>
      <c r="D38" s="21" t="str">
        <f t="shared" si="2"/>
        <v>Q1</v>
      </c>
      <c r="E38" s="21" t="str">
        <f t="shared" si="4"/>
        <v>Q1 2013-14</v>
      </c>
      <c r="F38" s="22">
        <v>5554127</v>
      </c>
      <c r="G38" s="25">
        <v>5312842</v>
      </c>
      <c r="H38" s="25">
        <v>241285</v>
      </c>
      <c r="I38" s="26">
        <v>0.95655752920305925</v>
      </c>
      <c r="J38">
        <f t="shared" si="3"/>
        <v>2013</v>
      </c>
      <c r="K38" s="29">
        <f>(VALUE(MID(AandE_Data[[#This Row],[Quarter &amp; Year]],4,4)) + (MID(AandE_Data[[#This Row],[Quarter &amp; Year]],2,1)-1)/4)</f>
        <v>2013</v>
      </c>
      <c r="L38" s="36">
        <v>95</v>
      </c>
    </row>
    <row r="39" spans="1:12" x14ac:dyDescent="0.25">
      <c r="A39" s="34" t="str">
        <f t="shared" si="1"/>
        <v>2013</v>
      </c>
      <c r="B39" s="4" t="s">
        <v>10</v>
      </c>
      <c r="C39" s="10" t="s">
        <v>28</v>
      </c>
      <c r="D39" s="21" t="str">
        <f t="shared" si="2"/>
        <v>Q2</v>
      </c>
      <c r="E39" s="21" t="str">
        <f t="shared" si="4"/>
        <v>Q2 2013-14</v>
      </c>
      <c r="F39" s="22">
        <v>5525151</v>
      </c>
      <c r="G39" s="25">
        <v>5319352</v>
      </c>
      <c r="H39" s="25">
        <v>205799</v>
      </c>
      <c r="I39" s="26">
        <v>0.96275233020780793</v>
      </c>
      <c r="J39">
        <f t="shared" si="3"/>
        <v>2013.25</v>
      </c>
      <c r="K39" s="29">
        <f>(VALUE(MID(AandE_Data[[#This Row],[Quarter &amp; Year]],4,4)) + (MID(AandE_Data[[#This Row],[Quarter &amp; Year]],2,1)-1)/4)</f>
        <v>2013.25</v>
      </c>
      <c r="L39" s="36">
        <v>95</v>
      </c>
    </row>
    <row r="40" spans="1:12" x14ac:dyDescent="0.25">
      <c r="A40" s="34" t="str">
        <f t="shared" si="1"/>
        <v>2013</v>
      </c>
      <c r="B40" s="4" t="s">
        <v>10</v>
      </c>
      <c r="C40" s="10" t="s">
        <v>26</v>
      </c>
      <c r="D40" s="21" t="str">
        <f t="shared" si="2"/>
        <v>Q3</v>
      </c>
      <c r="E40" s="21" t="str">
        <f t="shared" si="4"/>
        <v>Q3 2013-14</v>
      </c>
      <c r="F40" s="22">
        <v>5294269</v>
      </c>
      <c r="G40" s="25">
        <v>5063777</v>
      </c>
      <c r="H40" s="25">
        <v>230492</v>
      </c>
      <c r="I40" s="26">
        <v>0.95646386687189489</v>
      </c>
      <c r="J40">
        <f t="shared" si="3"/>
        <v>2013.5</v>
      </c>
      <c r="K40" s="29">
        <f>(VALUE(MID(AandE_Data[[#This Row],[Quarter &amp; Year]],4,4)) + (MID(AandE_Data[[#This Row],[Quarter &amp; Year]],2,1)-1)/4)</f>
        <v>2013.5</v>
      </c>
      <c r="L40" s="36">
        <v>95</v>
      </c>
    </row>
    <row r="41" spans="1:12" x14ac:dyDescent="0.25">
      <c r="A41" s="34" t="str">
        <f t="shared" si="1"/>
        <v>2013</v>
      </c>
      <c r="B41" s="4" t="s">
        <v>10</v>
      </c>
      <c r="C41" s="10" t="s">
        <v>27</v>
      </c>
      <c r="D41" s="21" t="str">
        <f t="shared" si="2"/>
        <v>Q4</v>
      </c>
      <c r="E41" s="21" t="str">
        <f t="shared" si="4"/>
        <v>Q4 2013-14</v>
      </c>
      <c r="F41" s="22">
        <v>5405110</v>
      </c>
      <c r="G41" s="25">
        <v>5143500</v>
      </c>
      <c r="H41" s="25">
        <v>261610</v>
      </c>
      <c r="I41" s="26">
        <v>0.95159950491294354</v>
      </c>
      <c r="J41">
        <f t="shared" si="3"/>
        <v>2013.75</v>
      </c>
      <c r="K41" s="29">
        <f>(VALUE(MID(AandE_Data[[#This Row],[Quarter &amp; Year]],4,4)) + (MID(AandE_Data[[#This Row],[Quarter &amp; Year]],2,1)-1)/4)</f>
        <v>2013.75</v>
      </c>
      <c r="L41" s="36">
        <v>95</v>
      </c>
    </row>
    <row r="42" spans="1:12" x14ac:dyDescent="0.25">
      <c r="A42" s="34" t="str">
        <f t="shared" si="1"/>
        <v>2014</v>
      </c>
      <c r="B42" s="4" t="s">
        <v>11</v>
      </c>
      <c r="C42" s="10" t="s">
        <v>24</v>
      </c>
      <c r="D42" s="21" t="str">
        <f t="shared" si="2"/>
        <v>Q1</v>
      </c>
      <c r="E42" s="21" t="str">
        <f t="shared" si="4"/>
        <v>Q1 2014-15</v>
      </c>
      <c r="F42" s="22">
        <v>5797900</v>
      </c>
      <c r="G42" s="25">
        <v>5513339</v>
      </c>
      <c r="H42" s="25">
        <v>284561</v>
      </c>
      <c r="I42" s="26">
        <v>0.95091998827161561</v>
      </c>
      <c r="J42">
        <f t="shared" si="3"/>
        <v>2014</v>
      </c>
      <c r="K42" s="29">
        <f>(VALUE(MID(AandE_Data[[#This Row],[Quarter &amp; Year]],4,4)) + (MID(AandE_Data[[#This Row],[Quarter &amp; Year]],2,1)-1)/4)</f>
        <v>2014</v>
      </c>
      <c r="L42" s="36">
        <v>95</v>
      </c>
    </row>
    <row r="43" spans="1:12" x14ac:dyDescent="0.25">
      <c r="A43" s="34" t="str">
        <f t="shared" si="1"/>
        <v>2014</v>
      </c>
      <c r="B43" s="4" t="s">
        <v>11</v>
      </c>
      <c r="C43" s="10" t="s">
        <v>28</v>
      </c>
      <c r="D43" s="21" t="str">
        <f t="shared" si="2"/>
        <v>Q2</v>
      </c>
      <c r="E43" s="21" t="str">
        <f t="shared" si="4"/>
        <v>Q2 2014-15</v>
      </c>
      <c r="F43" s="22">
        <v>5604239</v>
      </c>
      <c r="G43" s="25">
        <v>5323024</v>
      </c>
      <c r="H43" s="25">
        <v>281215</v>
      </c>
      <c r="I43" s="26">
        <v>0.94982101941048558</v>
      </c>
      <c r="J43">
        <f t="shared" si="3"/>
        <v>2014.25</v>
      </c>
      <c r="K43" s="29">
        <f>(VALUE(MID(AandE_Data[[#This Row],[Quarter &amp; Year]],4,4)) + (MID(AandE_Data[[#This Row],[Quarter &amp; Year]],2,1)-1)/4)</f>
        <v>2014.25</v>
      </c>
      <c r="L43" s="36">
        <v>95</v>
      </c>
    </row>
    <row r="44" spans="1:12" x14ac:dyDescent="0.25">
      <c r="A44" s="34" t="str">
        <f t="shared" si="1"/>
        <v>2014</v>
      </c>
      <c r="B44" s="4" t="s">
        <v>11</v>
      </c>
      <c r="C44" s="10" t="s">
        <v>26</v>
      </c>
      <c r="D44" s="21" t="str">
        <f t="shared" si="2"/>
        <v>Q3</v>
      </c>
      <c r="E44" s="21" t="str">
        <f t="shared" si="4"/>
        <v>Q3 2014-15</v>
      </c>
      <c r="F44" s="22">
        <v>5573821</v>
      </c>
      <c r="G44" s="25">
        <v>5159367</v>
      </c>
      <c r="H44" s="25">
        <v>414454</v>
      </c>
      <c r="I44" s="26">
        <v>0.92564275027848941</v>
      </c>
      <c r="J44">
        <f t="shared" si="3"/>
        <v>2014.5</v>
      </c>
      <c r="K44" s="29">
        <f>(VALUE(MID(AandE_Data[[#This Row],[Quarter &amp; Year]],4,4)) + (MID(AandE_Data[[#This Row],[Quarter &amp; Year]],2,1)-1)/4)</f>
        <v>2014.5</v>
      </c>
      <c r="L44" s="36">
        <v>95</v>
      </c>
    </row>
    <row r="45" spans="1:12" x14ac:dyDescent="0.25">
      <c r="A45" s="34" t="str">
        <f t="shared" si="1"/>
        <v>2014</v>
      </c>
      <c r="B45" s="4" t="s">
        <v>11</v>
      </c>
      <c r="C45" s="10" t="s">
        <v>27</v>
      </c>
      <c r="D45" s="21" t="str">
        <f t="shared" si="2"/>
        <v>Q4</v>
      </c>
      <c r="E45" s="21" t="str">
        <f t="shared" si="4"/>
        <v>Q4 2014-15</v>
      </c>
      <c r="F45" s="22">
        <v>5378821</v>
      </c>
      <c r="G45" s="25">
        <v>4937913</v>
      </c>
      <c r="H45" s="25">
        <v>440908</v>
      </c>
      <c r="I45" s="26">
        <v>0.9180288765883825</v>
      </c>
      <c r="J45">
        <f t="shared" si="3"/>
        <v>2014.75</v>
      </c>
      <c r="K45" s="29">
        <f>(VALUE(MID(AandE_Data[[#This Row],[Quarter &amp; Year]],4,4)) + (MID(AandE_Data[[#This Row],[Quarter &amp; Year]],2,1)-1)/4)</f>
        <v>2014.75</v>
      </c>
      <c r="L45" s="36">
        <v>95</v>
      </c>
    </row>
    <row r="46" spans="1:12" x14ac:dyDescent="0.25">
      <c r="A46" s="34" t="str">
        <f t="shared" si="1"/>
        <v>2015</v>
      </c>
      <c r="B46" s="3" t="s">
        <v>12</v>
      </c>
      <c r="C46" s="3" t="s">
        <v>24</v>
      </c>
      <c r="D46" s="21" t="str">
        <f t="shared" si="2"/>
        <v>Q1</v>
      </c>
      <c r="E46" s="21" t="str">
        <f t="shared" si="4"/>
        <v>Q1 2015-16</v>
      </c>
      <c r="F46" s="22">
        <v>5712178</v>
      </c>
      <c r="G46" s="25">
        <v>5375090</v>
      </c>
      <c r="H46" s="25">
        <v>337088</v>
      </c>
      <c r="I46" s="26">
        <v>0.94098783336233571</v>
      </c>
      <c r="J46">
        <f t="shared" si="3"/>
        <v>2015</v>
      </c>
      <c r="K46" s="29">
        <f>(VALUE(MID(AandE_Data[[#This Row],[Quarter &amp; Year]],4,4)) + (MID(AandE_Data[[#This Row],[Quarter &amp; Year]],2,1)-1)/4)</f>
        <v>2015</v>
      </c>
      <c r="L46" s="36">
        <v>95</v>
      </c>
    </row>
    <row r="47" spans="1:12" x14ac:dyDescent="0.25">
      <c r="A47" s="34" t="str">
        <f t="shared" si="1"/>
        <v>2015</v>
      </c>
      <c r="B47" s="3" t="s">
        <v>12</v>
      </c>
      <c r="C47" s="3" t="s">
        <v>28</v>
      </c>
      <c r="D47" s="21" t="str">
        <f t="shared" si="2"/>
        <v>Q2</v>
      </c>
      <c r="E47" s="21" t="str">
        <f t="shared" si="4"/>
        <v>Q2 2015-16</v>
      </c>
      <c r="F47" s="27">
        <v>5678013</v>
      </c>
      <c r="G47" s="25">
        <v>5350952</v>
      </c>
      <c r="H47" s="28">
        <v>327061</v>
      </c>
      <c r="I47" s="26">
        <v>0.94239868770994362</v>
      </c>
      <c r="J47">
        <f t="shared" si="3"/>
        <v>2015.25</v>
      </c>
      <c r="K47" s="29">
        <f>(VALUE(MID(AandE_Data[[#This Row],[Quarter &amp; Year]],4,4)) + (MID(AandE_Data[[#This Row],[Quarter &amp; Year]],2,1)-1)/4)</f>
        <v>2015.25</v>
      </c>
      <c r="L47" s="36">
        <v>95</v>
      </c>
    </row>
    <row r="48" spans="1:12" x14ac:dyDescent="0.25">
      <c r="A48" s="34" t="str">
        <f t="shared" si="1"/>
        <v>2015</v>
      </c>
      <c r="B48" s="3" t="s">
        <v>12</v>
      </c>
      <c r="C48" s="3" t="s">
        <v>26</v>
      </c>
      <c r="D48" s="21" t="str">
        <f t="shared" si="2"/>
        <v>Q3</v>
      </c>
      <c r="E48" s="21" t="str">
        <f t="shared" si="4"/>
        <v>Q3 2015-16</v>
      </c>
      <c r="F48" s="22">
        <v>5664995</v>
      </c>
      <c r="G48" s="25">
        <v>5185365</v>
      </c>
      <c r="H48" s="25">
        <v>479630</v>
      </c>
      <c r="I48" s="26">
        <v>0.91533443542315573</v>
      </c>
      <c r="J48">
        <f t="shared" si="3"/>
        <v>2015.5</v>
      </c>
      <c r="K48" s="29">
        <f>(VALUE(MID(AandE_Data[[#This Row],[Quarter &amp; Year]],4,4)) + (MID(AandE_Data[[#This Row],[Quarter &amp; Year]],2,1)-1)/4)</f>
        <v>2015.5</v>
      </c>
      <c r="L48" s="36">
        <v>95</v>
      </c>
    </row>
    <row r="49" spans="1:12" x14ac:dyDescent="0.25">
      <c r="A49" s="34" t="str">
        <f t="shared" si="1"/>
        <v>2015</v>
      </c>
      <c r="B49" s="3" t="s">
        <v>12</v>
      </c>
      <c r="C49" s="10" t="s">
        <v>27</v>
      </c>
      <c r="D49" s="21" t="str">
        <f t="shared" si="2"/>
        <v>Q4</v>
      </c>
      <c r="E49" s="21" t="str">
        <f t="shared" si="4"/>
        <v>Q4 2015-16</v>
      </c>
      <c r="F49" s="22">
        <v>5865249.42857143</v>
      </c>
      <c r="G49" s="25">
        <v>5154048.42857143</v>
      </c>
      <c r="H49" s="25">
        <v>711201</v>
      </c>
      <c r="I49" s="26">
        <v>0.87874326426161486</v>
      </c>
      <c r="J49">
        <f t="shared" si="3"/>
        <v>2015.75</v>
      </c>
      <c r="K49" s="29">
        <f>(VALUE(MID(AandE_Data[[#This Row],[Quarter &amp; Year]],4,4)) + (MID(AandE_Data[[#This Row],[Quarter &amp; Year]],2,1)-1)/4)</f>
        <v>2015.75</v>
      </c>
      <c r="L49" s="36">
        <v>95</v>
      </c>
    </row>
    <row r="50" spans="1:12" x14ac:dyDescent="0.25">
      <c r="A50" s="34" t="str">
        <f t="shared" si="1"/>
        <v>2016</v>
      </c>
      <c r="B50" s="5" t="s">
        <v>13</v>
      </c>
      <c r="C50" s="10" t="s">
        <v>24</v>
      </c>
      <c r="D50" s="21" t="str">
        <f t="shared" si="2"/>
        <v>Q1</v>
      </c>
      <c r="E50" s="21" t="str">
        <f t="shared" si="4"/>
        <v>Q1 2016-17</v>
      </c>
      <c r="F50" s="22">
        <v>5896923</v>
      </c>
      <c r="G50" s="25">
        <v>5324560</v>
      </c>
      <c r="H50" s="25">
        <v>572363</v>
      </c>
      <c r="I50" s="26">
        <v>0.90293870209938298</v>
      </c>
      <c r="J50">
        <f t="shared" si="3"/>
        <v>2016</v>
      </c>
      <c r="K50" s="29">
        <f>(VALUE(MID(AandE_Data[[#This Row],[Quarter &amp; Year]],4,4)) + (MID(AandE_Data[[#This Row],[Quarter &amp; Year]],2,1)-1)/4)</f>
        <v>2016</v>
      </c>
      <c r="L50" s="36">
        <v>95</v>
      </c>
    </row>
    <row r="51" spans="1:12" x14ac:dyDescent="0.25">
      <c r="A51" s="34" t="str">
        <f t="shared" si="1"/>
        <v>2016</v>
      </c>
      <c r="B51" s="5" t="s">
        <v>13</v>
      </c>
      <c r="C51" s="10" t="s">
        <v>28</v>
      </c>
      <c r="D51" s="21" t="str">
        <f t="shared" si="2"/>
        <v>Q2</v>
      </c>
      <c r="E51" s="21" t="str">
        <f t="shared" si="4"/>
        <v>Q2 2016-17</v>
      </c>
      <c r="F51" s="22">
        <v>5964399</v>
      </c>
      <c r="G51" s="25">
        <v>5405410</v>
      </c>
      <c r="H51" s="25">
        <v>558989</v>
      </c>
      <c r="I51" s="26">
        <v>0.90627907354957304</v>
      </c>
      <c r="J51">
        <f t="shared" si="3"/>
        <v>2016.25</v>
      </c>
      <c r="K51" s="29">
        <f>(VALUE(MID(AandE_Data[[#This Row],[Quarter &amp; Year]],4,4)) + (MID(AandE_Data[[#This Row],[Quarter &amp; Year]],2,1)-1)/4)</f>
        <v>2016.25</v>
      </c>
      <c r="L51" s="36">
        <v>95</v>
      </c>
    </row>
    <row r="52" spans="1:12" x14ac:dyDescent="0.25">
      <c r="A52" s="34" t="str">
        <f t="shared" si="1"/>
        <v>2016</v>
      </c>
      <c r="B52" s="5" t="s">
        <v>13</v>
      </c>
      <c r="C52" s="10" t="s">
        <v>29</v>
      </c>
      <c r="D52" s="21" t="str">
        <f t="shared" si="2"/>
        <v>Q3</v>
      </c>
      <c r="E52" s="21" t="str">
        <f t="shared" si="4"/>
        <v>Q3 2016-17</v>
      </c>
      <c r="F52" s="22">
        <v>5854254</v>
      </c>
      <c r="G52" s="25">
        <v>5144586</v>
      </c>
      <c r="H52" s="25">
        <v>709668</v>
      </c>
      <c r="I52" s="26">
        <v>0.87877738137088002</v>
      </c>
      <c r="J52">
        <f t="shared" si="3"/>
        <v>2016.5</v>
      </c>
      <c r="K52" s="29">
        <f>(VALUE(MID(AandE_Data[[#This Row],[Quarter &amp; Year]],4,4)) + (MID(AandE_Data[[#This Row],[Quarter &amp; Year]],2,1)-1)/4)</f>
        <v>2016.5</v>
      </c>
      <c r="L52" s="36">
        <v>95</v>
      </c>
    </row>
    <row r="53" spans="1:12" x14ac:dyDescent="0.25">
      <c r="A53" s="34" t="str">
        <f t="shared" si="1"/>
        <v>2016</v>
      </c>
      <c r="B53" s="5" t="s">
        <v>13</v>
      </c>
      <c r="C53" s="10" t="s">
        <v>27</v>
      </c>
      <c r="D53" s="21" t="str">
        <f t="shared" si="2"/>
        <v>Q4</v>
      </c>
      <c r="E53" s="21" t="str">
        <f t="shared" si="4"/>
        <v>Q4 2016-17</v>
      </c>
      <c r="F53" s="22">
        <v>5646725</v>
      </c>
      <c r="G53" s="25">
        <v>4947305</v>
      </c>
      <c r="H53" s="25">
        <v>699420</v>
      </c>
      <c r="I53" s="26">
        <v>0.87613705289349131</v>
      </c>
      <c r="J53">
        <f t="shared" si="3"/>
        <v>2016.75</v>
      </c>
      <c r="K53" s="29">
        <f>(VALUE(MID(AandE_Data[[#This Row],[Quarter &amp; Year]],4,4)) + (MID(AandE_Data[[#This Row],[Quarter &amp; Year]],2,1)-1)/4)</f>
        <v>2016.75</v>
      </c>
      <c r="L53" s="36">
        <v>95</v>
      </c>
    </row>
    <row r="54" spans="1:12" x14ac:dyDescent="0.25">
      <c r="A54" s="34" t="str">
        <f t="shared" si="1"/>
        <v>2017</v>
      </c>
      <c r="B54" s="5" t="s">
        <v>14</v>
      </c>
      <c r="C54" s="10" t="s">
        <v>24</v>
      </c>
      <c r="D54" s="21" t="str">
        <f t="shared" si="2"/>
        <v>Q1</v>
      </c>
      <c r="E54" s="21" t="str">
        <f t="shared" si="4"/>
        <v>Q1 2017-18</v>
      </c>
      <c r="F54" s="22">
        <v>6010607</v>
      </c>
      <c r="G54" s="25">
        <v>5427860</v>
      </c>
      <c r="H54" s="25">
        <v>582747</v>
      </c>
      <c r="I54" s="26">
        <v>0.90304689692738194</v>
      </c>
      <c r="J54">
        <f t="shared" si="3"/>
        <v>2017</v>
      </c>
      <c r="K54" s="29">
        <f>(VALUE(MID(AandE_Data[[#This Row],[Quarter &amp; Year]],4,4)) + (MID(AandE_Data[[#This Row],[Quarter &amp; Year]],2,1)-1)/4)</f>
        <v>2017</v>
      </c>
      <c r="L54" s="36">
        <v>95</v>
      </c>
    </row>
    <row r="55" spans="1:12" x14ac:dyDescent="0.25">
      <c r="A55" s="34" t="str">
        <f t="shared" si="1"/>
        <v>2017</v>
      </c>
      <c r="B55" s="5" t="s">
        <v>14</v>
      </c>
      <c r="C55" s="10" t="s">
        <v>25</v>
      </c>
      <c r="D55" s="21" t="str">
        <f t="shared" si="2"/>
        <v>Q2</v>
      </c>
      <c r="E55" s="21" t="str">
        <f t="shared" si="4"/>
        <v>Q2 2017-18</v>
      </c>
      <c r="F55" s="22">
        <v>5924568</v>
      </c>
      <c r="G55" s="25">
        <v>5338653</v>
      </c>
      <c r="H55" s="25">
        <v>585915</v>
      </c>
      <c r="I55" s="26">
        <v>0.90110418177325335</v>
      </c>
      <c r="J55">
        <f t="shared" si="3"/>
        <v>2017.25</v>
      </c>
      <c r="K55" s="29">
        <f>(VALUE(MID(AandE_Data[[#This Row],[Quarter &amp; Year]],4,4)) + (MID(AandE_Data[[#This Row],[Quarter &amp; Year]],2,1)-1)/4)</f>
        <v>2017.25</v>
      </c>
      <c r="L55" s="36">
        <v>95</v>
      </c>
    </row>
    <row r="56" spans="1:12" x14ac:dyDescent="0.25">
      <c r="A56" s="34" t="str">
        <f t="shared" si="1"/>
        <v>2017</v>
      </c>
      <c r="B56" s="5" t="s">
        <v>14</v>
      </c>
      <c r="C56" s="10" t="s">
        <v>26</v>
      </c>
      <c r="D56" s="21" t="str">
        <f t="shared" si="2"/>
        <v>Q3</v>
      </c>
      <c r="E56" s="21" t="str">
        <f t="shared" si="4"/>
        <v>Q3 2017-18</v>
      </c>
      <c r="F56" s="22">
        <v>6025062</v>
      </c>
      <c r="G56" s="25">
        <v>5296485</v>
      </c>
      <c r="H56" s="25">
        <v>728577</v>
      </c>
      <c r="I56" s="26">
        <v>0.8790756012137303</v>
      </c>
      <c r="J56">
        <f t="shared" si="3"/>
        <v>2017.5</v>
      </c>
      <c r="K56" s="29">
        <f>(VALUE(MID(AandE_Data[[#This Row],[Quarter &amp; Year]],4,4)) + (MID(AandE_Data[[#This Row],[Quarter &amp; Year]],2,1)-1)/4)</f>
        <v>2017.5</v>
      </c>
      <c r="L56" s="36">
        <v>95</v>
      </c>
    </row>
    <row r="57" spans="1:12" x14ac:dyDescent="0.25">
      <c r="A57" s="34" t="str">
        <f t="shared" si="1"/>
        <v>2017</v>
      </c>
      <c r="B57" s="5" t="s">
        <v>14</v>
      </c>
      <c r="C57" s="10" t="s">
        <v>27</v>
      </c>
      <c r="D57" s="21" t="str">
        <f t="shared" si="2"/>
        <v>Q4</v>
      </c>
      <c r="E57" s="21" t="str">
        <f t="shared" si="4"/>
        <v>Q4 2017-18</v>
      </c>
      <c r="F57" s="22">
        <v>5869883</v>
      </c>
      <c r="G57" s="25">
        <v>4988435</v>
      </c>
      <c r="H57" s="25">
        <v>881448</v>
      </c>
      <c r="I57" s="26">
        <v>0.84983550779461869</v>
      </c>
      <c r="J57">
        <f t="shared" si="3"/>
        <v>2017.75</v>
      </c>
      <c r="K57" s="29">
        <f>(VALUE(MID(AandE_Data[[#This Row],[Quarter &amp; Year]],4,4)) + (MID(AandE_Data[[#This Row],[Quarter &amp; Year]],2,1)-1)/4)</f>
        <v>2017.75</v>
      </c>
      <c r="L57" s="36">
        <v>95</v>
      </c>
    </row>
    <row r="58" spans="1:12" x14ac:dyDescent="0.25">
      <c r="A58" s="34" t="str">
        <f t="shared" si="1"/>
        <v>2018</v>
      </c>
      <c r="B58" s="5" t="s">
        <v>15</v>
      </c>
      <c r="C58" s="10" t="s">
        <v>24</v>
      </c>
      <c r="D58" s="21" t="str">
        <f t="shared" si="2"/>
        <v>Q1</v>
      </c>
      <c r="E58" s="21" t="str">
        <f t="shared" si="4"/>
        <v>Q1 2018-19</v>
      </c>
      <c r="F58" s="22">
        <v>6242769</v>
      </c>
      <c r="G58" s="25">
        <v>5614585</v>
      </c>
      <c r="H58" s="25">
        <v>628184</v>
      </c>
      <c r="I58" s="26">
        <v>0.89937413990490434</v>
      </c>
      <c r="J58">
        <f t="shared" si="3"/>
        <v>2018</v>
      </c>
      <c r="K58" s="29">
        <f>(VALUE(MID(AandE_Data[[#This Row],[Quarter &amp; Year]],4,4)) + (MID(AandE_Data[[#This Row],[Quarter &amp; Year]],2,1)-1)/4)</f>
        <v>2018</v>
      </c>
      <c r="L58" s="36">
        <v>95</v>
      </c>
    </row>
    <row r="59" spans="1:12" x14ac:dyDescent="0.25">
      <c r="A59" s="34" t="str">
        <f t="shared" si="1"/>
        <v>2018</v>
      </c>
      <c r="B59" s="5" t="s">
        <v>15</v>
      </c>
      <c r="C59" s="10" t="s">
        <v>25</v>
      </c>
      <c r="D59" s="21" t="str">
        <f t="shared" si="2"/>
        <v>Q2</v>
      </c>
      <c r="E59" s="21" t="str">
        <f t="shared" si="4"/>
        <v>Q2 2018-19</v>
      </c>
      <c r="F59" s="22">
        <v>6183445</v>
      </c>
      <c r="G59" s="25">
        <v>5523626</v>
      </c>
      <c r="H59" s="25">
        <v>659819</v>
      </c>
      <c r="I59" s="26">
        <v>0.89329265482267572</v>
      </c>
      <c r="J59">
        <f t="shared" si="3"/>
        <v>2018.25</v>
      </c>
      <c r="K59" s="29">
        <f>(VALUE(MID(AandE_Data[[#This Row],[Quarter &amp; Year]],4,4)) + (MID(AandE_Data[[#This Row],[Quarter &amp; Year]],2,1)-1)/4)</f>
        <v>2018.25</v>
      </c>
      <c r="L59" s="36">
        <v>95</v>
      </c>
    </row>
    <row r="60" spans="1:12" x14ac:dyDescent="0.25">
      <c r="A60" s="34" t="str">
        <f t="shared" si="1"/>
        <v>2018</v>
      </c>
      <c r="B60" s="5" t="s">
        <v>15</v>
      </c>
      <c r="C60" s="10" t="s">
        <v>26</v>
      </c>
      <c r="D60" s="21" t="str">
        <f t="shared" si="2"/>
        <v>Q3</v>
      </c>
      <c r="E60" s="21" t="str">
        <f t="shared" si="4"/>
        <v>Q3 2018-19</v>
      </c>
      <c r="F60" s="22">
        <v>6164857</v>
      </c>
      <c r="G60" s="25">
        <v>5406191</v>
      </c>
      <c r="H60" s="25">
        <v>758666</v>
      </c>
      <c r="I60" s="26">
        <v>0.87693696706995794</v>
      </c>
      <c r="J60">
        <f t="shared" si="3"/>
        <v>2018.5</v>
      </c>
      <c r="K60" s="29">
        <f>(VALUE(MID(AandE_Data[[#This Row],[Quarter &amp; Year]],4,4)) + (MID(AandE_Data[[#This Row],[Quarter &amp; Year]],2,1)-1)/4)</f>
        <v>2018.5</v>
      </c>
      <c r="L60" s="36">
        <v>95</v>
      </c>
    </row>
    <row r="61" spans="1:12" x14ac:dyDescent="0.25">
      <c r="A61" s="34" t="str">
        <f t="shared" si="1"/>
        <v>2018</v>
      </c>
      <c r="B61" s="5" t="s">
        <v>15</v>
      </c>
      <c r="C61" s="10" t="s">
        <v>27</v>
      </c>
      <c r="D61" s="21" t="str">
        <f t="shared" si="2"/>
        <v>Q4</v>
      </c>
      <c r="E61" s="21" t="str">
        <f t="shared" si="4"/>
        <v>Q4 2018-19</v>
      </c>
      <c r="F61" s="22">
        <v>6235911</v>
      </c>
      <c r="G61" s="25">
        <v>5306577</v>
      </c>
      <c r="H61" s="25">
        <v>929334</v>
      </c>
      <c r="I61" s="26">
        <v>0.85097061199237767</v>
      </c>
      <c r="J61">
        <f t="shared" si="3"/>
        <v>2018.75</v>
      </c>
      <c r="K61" s="29">
        <f>(VALUE(MID(AandE_Data[[#This Row],[Quarter &amp; Year]],4,4)) + (MID(AandE_Data[[#This Row],[Quarter &amp; Year]],2,1)-1)/4)</f>
        <v>2018.75</v>
      </c>
      <c r="L61" s="36">
        <v>95</v>
      </c>
    </row>
    <row r="62" spans="1:12" x14ac:dyDescent="0.25">
      <c r="A62" s="34" t="str">
        <f t="shared" si="1"/>
        <v>2019</v>
      </c>
      <c r="B62" s="6" t="s">
        <v>16</v>
      </c>
      <c r="C62" s="11" t="s">
        <v>24</v>
      </c>
      <c r="D62" s="21" t="str">
        <f t="shared" si="2"/>
        <v>Q1</v>
      </c>
      <c r="E62" s="21" t="str">
        <f t="shared" si="4"/>
        <v>Q1 2019-20</v>
      </c>
      <c r="F62" s="22">
        <v>6392158</v>
      </c>
      <c r="G62" s="25">
        <v>5130746</v>
      </c>
      <c r="H62" s="25">
        <v>834228</v>
      </c>
      <c r="I62" s="26">
        <v>0.86014557649371148</v>
      </c>
      <c r="J62">
        <f t="shared" si="3"/>
        <v>2019</v>
      </c>
      <c r="K62" s="29">
        <f>(VALUE(MID(AandE_Data[[#This Row],[Quarter &amp; Year]],4,4)) + (MID(AandE_Data[[#This Row],[Quarter &amp; Year]],2,1)-1)/4)</f>
        <v>2019</v>
      </c>
      <c r="L62" s="36">
        <v>95</v>
      </c>
    </row>
    <row r="63" spans="1:12" x14ac:dyDescent="0.25">
      <c r="A63" s="34" t="str">
        <f t="shared" si="1"/>
        <v>2019</v>
      </c>
      <c r="B63" s="6" t="s">
        <v>16</v>
      </c>
      <c r="C63" s="11" t="s">
        <v>25</v>
      </c>
      <c r="D63" s="21" t="str">
        <f t="shared" si="2"/>
        <v>Q2</v>
      </c>
      <c r="E63" s="21" t="str">
        <f t="shared" si="4"/>
        <v>Q2 2019-20</v>
      </c>
      <c r="F63" s="22">
        <v>6513830</v>
      </c>
      <c r="G63" s="25">
        <v>5048167</v>
      </c>
      <c r="H63" s="25">
        <v>820442</v>
      </c>
      <c r="I63" s="26">
        <v>0.86019821732884227</v>
      </c>
      <c r="J63">
        <f t="shared" si="3"/>
        <v>2019.25</v>
      </c>
      <c r="K63" s="29">
        <f>(VALUE(MID(AandE_Data[[#This Row],[Quarter &amp; Year]],4,4)) + (MID(AandE_Data[[#This Row],[Quarter &amp; Year]],2,1)-1)/4)</f>
        <v>2019.25</v>
      </c>
      <c r="L63" s="36">
        <v>95</v>
      </c>
    </row>
    <row r="64" spans="1:12" x14ac:dyDescent="0.25">
      <c r="A64" s="34" t="str">
        <f t="shared" si="1"/>
        <v>2019</v>
      </c>
      <c r="B64" s="6" t="s">
        <v>16</v>
      </c>
      <c r="C64" s="11" t="s">
        <v>26</v>
      </c>
      <c r="D64" s="21" t="str">
        <f t="shared" si="2"/>
        <v>Q3</v>
      </c>
      <c r="E64" s="21" t="str">
        <f t="shared" si="4"/>
        <v>Q3 2019-20</v>
      </c>
      <c r="F64" s="22">
        <v>6494927</v>
      </c>
      <c r="G64" s="25">
        <v>4772973</v>
      </c>
      <c r="H64" s="25">
        <v>1074351</v>
      </c>
      <c r="I64" s="26">
        <v>0.81626620997912891</v>
      </c>
      <c r="J64">
        <f t="shared" si="3"/>
        <v>2019.5</v>
      </c>
      <c r="K64" s="29">
        <f>(VALUE(MID(AandE_Data[[#This Row],[Quarter &amp; Year]],4,4)) + (MID(AandE_Data[[#This Row],[Quarter &amp; Year]],2,1)-1)/4)</f>
        <v>2019.5</v>
      </c>
      <c r="L64" s="36">
        <v>95</v>
      </c>
    </row>
    <row r="65" spans="1:12" x14ac:dyDescent="0.25">
      <c r="A65" s="34" t="str">
        <f t="shared" si="1"/>
        <v>2019</v>
      </c>
      <c r="B65" s="6" t="s">
        <v>16</v>
      </c>
      <c r="C65" s="11" t="s">
        <v>27</v>
      </c>
      <c r="D65" s="21" t="str">
        <f t="shared" si="2"/>
        <v>Q4</v>
      </c>
      <c r="E65" s="21" t="str">
        <f t="shared" si="4"/>
        <v>Q4 2019-20</v>
      </c>
      <c r="F65" s="22">
        <v>5616201</v>
      </c>
      <c r="G65" s="25">
        <v>4185790</v>
      </c>
      <c r="H65" s="25">
        <v>870884</v>
      </c>
      <c r="I65" s="26">
        <v>0.82777533216497645</v>
      </c>
      <c r="J65">
        <f t="shared" si="3"/>
        <v>2019.75</v>
      </c>
      <c r="K65" s="29">
        <f>(VALUE(MID(AandE_Data[[#This Row],[Quarter &amp; Year]],4,4)) + (MID(AandE_Data[[#This Row],[Quarter &amp; Year]],2,1)-1)/4)</f>
        <v>2019.75</v>
      </c>
      <c r="L65" s="36">
        <v>95</v>
      </c>
    </row>
    <row r="66" spans="1:12" x14ac:dyDescent="0.25">
      <c r="A66" s="34" t="str">
        <f t="shared" si="1"/>
        <v>2020</v>
      </c>
      <c r="B66" s="6" t="s">
        <v>17</v>
      </c>
      <c r="C66" s="11" t="s">
        <v>24</v>
      </c>
      <c r="D66" s="21" t="str">
        <f t="shared" si="2"/>
        <v>Q1</v>
      </c>
      <c r="E66" s="21" t="str">
        <f t="shared" ref="E66:E88" si="5">D66 &amp;" "&amp; B66</f>
        <v>Q1 2020-21</v>
      </c>
      <c r="F66" s="22">
        <v>3589014</v>
      </c>
      <c r="G66" s="25">
        <v>2954190</v>
      </c>
      <c r="H66" s="25">
        <v>241707</v>
      </c>
      <c r="I66" s="26">
        <v>0.92436959013384978</v>
      </c>
      <c r="J66">
        <f t="shared" si="3"/>
        <v>2020</v>
      </c>
      <c r="K66" s="29">
        <f>(VALUE(MID(AandE_Data[[#This Row],[Quarter &amp; Year]],4,4)) + (MID(AandE_Data[[#This Row],[Quarter &amp; Year]],2,1)-1)/4)</f>
        <v>2020</v>
      </c>
      <c r="L66" s="36">
        <v>95</v>
      </c>
    </row>
    <row r="67" spans="1:12" x14ac:dyDescent="0.25">
      <c r="A67" s="34" t="str">
        <f t="shared" ref="A67:A88" si="6">LEFT(B67, 4)</f>
        <v>2020</v>
      </c>
      <c r="B67" s="6" t="s">
        <v>17</v>
      </c>
      <c r="C67" s="11" t="s">
        <v>25</v>
      </c>
      <c r="D67" s="21" t="str">
        <f t="shared" ref="D67:D88" si="7">LEFT(C67,2)</f>
        <v>Q2</v>
      </c>
      <c r="E67" s="21" t="str">
        <f t="shared" si="5"/>
        <v>Q2 2020-21</v>
      </c>
      <c r="F67" s="22">
        <v>5001169</v>
      </c>
      <c r="G67" s="25">
        <v>3988701</v>
      </c>
      <c r="H67" s="25">
        <v>471471</v>
      </c>
      <c r="I67" s="26">
        <v>0.89429309004226742</v>
      </c>
      <c r="J67">
        <f t="shared" ref="J67:J88" si="8">VALUE(MID(E67,4,4)) + (MID(E67,2,1)-1)/4</f>
        <v>2020.25</v>
      </c>
      <c r="K67" s="29">
        <f>(VALUE(MID(AandE_Data[[#This Row],[Quarter &amp; Year]],4,4)) + (MID(AandE_Data[[#This Row],[Quarter &amp; Year]],2,1)-1)/4)</f>
        <v>2020.25</v>
      </c>
      <c r="L67" s="36">
        <v>95</v>
      </c>
    </row>
    <row r="68" spans="1:12" x14ac:dyDescent="0.25">
      <c r="A68" s="34" t="str">
        <f t="shared" si="6"/>
        <v>2020</v>
      </c>
      <c r="B68" s="6" t="s">
        <v>17</v>
      </c>
      <c r="C68" s="11" t="s">
        <v>26</v>
      </c>
      <c r="D68" s="21" t="str">
        <f t="shared" si="7"/>
        <v>Q3</v>
      </c>
      <c r="E68" s="21" t="str">
        <f t="shared" si="5"/>
        <v>Q3 2020-21</v>
      </c>
      <c r="F68" s="25">
        <v>4559197</v>
      </c>
      <c r="G68" s="25">
        <v>3352413</v>
      </c>
      <c r="H68" s="25">
        <v>691609</v>
      </c>
      <c r="I68" s="26">
        <v>0.82897991158307249</v>
      </c>
      <c r="J68">
        <f t="shared" si="8"/>
        <v>2020.5</v>
      </c>
      <c r="K68" s="29">
        <f>(VALUE(MID(AandE_Data[[#This Row],[Quarter &amp; Year]],4,4)) + (MID(AandE_Data[[#This Row],[Quarter &amp; Year]],2,1)-1)/4)</f>
        <v>2020.5</v>
      </c>
      <c r="L68" s="36">
        <v>95</v>
      </c>
    </row>
    <row r="69" spans="1:12" x14ac:dyDescent="0.25">
      <c r="A69" s="34" t="str">
        <f t="shared" si="6"/>
        <v>2020</v>
      </c>
      <c r="B69" s="6" t="s">
        <v>17</v>
      </c>
      <c r="C69" s="11" t="s">
        <v>27</v>
      </c>
      <c r="D69" s="21" t="str">
        <f t="shared" si="7"/>
        <v>Q4</v>
      </c>
      <c r="E69" s="21" t="str">
        <f t="shared" si="5"/>
        <v>Q4 2020-21</v>
      </c>
      <c r="F69" s="25">
        <v>4280179</v>
      </c>
      <c r="G69" s="25">
        <v>3159238</v>
      </c>
      <c r="H69" s="25">
        <v>640475</v>
      </c>
      <c r="I69" s="26">
        <v>0.83144121674452776</v>
      </c>
      <c r="J69">
        <f t="shared" si="8"/>
        <v>2020.75</v>
      </c>
      <c r="K69" s="29">
        <f>(VALUE(MID(AandE_Data[[#This Row],[Quarter &amp; Year]],4,4)) + (MID(AandE_Data[[#This Row],[Quarter &amp; Year]],2,1)-1)/4)</f>
        <v>2020.75</v>
      </c>
      <c r="L69" s="36">
        <v>95</v>
      </c>
    </row>
    <row r="70" spans="1:12" x14ac:dyDescent="0.25">
      <c r="A70" s="34" t="str">
        <f t="shared" si="6"/>
        <v>2021</v>
      </c>
      <c r="B70" s="6" t="s">
        <v>18</v>
      </c>
      <c r="C70" s="11" t="s">
        <v>24</v>
      </c>
      <c r="D70" s="21" t="str">
        <f t="shared" si="7"/>
        <v>Q1</v>
      </c>
      <c r="E70" s="21" t="str">
        <f t="shared" si="5"/>
        <v>Q1 2021-22</v>
      </c>
      <c r="F70" s="29">
        <v>6098906</v>
      </c>
      <c r="G70" s="29">
        <v>4520377</v>
      </c>
      <c r="H70" s="29">
        <v>902667</v>
      </c>
      <c r="I70" s="30">
        <v>0.83354975545099763</v>
      </c>
      <c r="J70">
        <f t="shared" si="8"/>
        <v>2021</v>
      </c>
      <c r="K70" s="29">
        <f>(VALUE(MID(AandE_Data[[#This Row],[Quarter &amp; Year]],4,4)) + (MID(AandE_Data[[#This Row],[Quarter &amp; Year]],2,1)-1)/4)</f>
        <v>2021</v>
      </c>
      <c r="L70" s="36">
        <v>95</v>
      </c>
    </row>
    <row r="71" spans="1:12" x14ac:dyDescent="0.25">
      <c r="A71" s="34" t="str">
        <f t="shared" si="6"/>
        <v>2021</v>
      </c>
      <c r="B71" s="6" t="s">
        <v>18</v>
      </c>
      <c r="C71" s="12" t="s">
        <v>25</v>
      </c>
      <c r="D71" s="21" t="str">
        <f t="shared" si="7"/>
        <v>Q2</v>
      </c>
      <c r="E71" s="21" t="str">
        <f t="shared" si="5"/>
        <v>Q2 2021-22</v>
      </c>
      <c r="F71" s="29">
        <v>6323299</v>
      </c>
      <c r="G71" s="29">
        <v>4309209</v>
      </c>
      <c r="H71" s="29">
        <v>1312490</v>
      </c>
      <c r="I71" s="30">
        <v>0.76653143471395391</v>
      </c>
      <c r="J71">
        <f t="shared" si="8"/>
        <v>2021.25</v>
      </c>
      <c r="K71" s="29">
        <f>(VALUE(MID(AandE_Data[[#This Row],[Quarter &amp; Year]],4,4)) + (MID(AandE_Data[[#This Row],[Quarter &amp; Year]],2,1)-1)/4)</f>
        <v>2021.25</v>
      </c>
      <c r="L71" s="36">
        <v>95</v>
      </c>
    </row>
    <row r="72" spans="1:12" x14ac:dyDescent="0.25">
      <c r="A72" s="34" t="str">
        <f t="shared" si="6"/>
        <v>2021</v>
      </c>
      <c r="B72" s="6" t="s">
        <v>18</v>
      </c>
      <c r="C72" s="11" t="s">
        <v>26</v>
      </c>
      <c r="D72" s="21" t="str">
        <f t="shared" si="7"/>
        <v>Q3</v>
      </c>
      <c r="E72" s="21" t="str">
        <f t="shared" si="5"/>
        <v>Q3 2021-22</v>
      </c>
      <c r="F72" s="29">
        <v>6077399</v>
      </c>
      <c r="G72" s="29">
        <v>3992720</v>
      </c>
      <c r="H72" s="29">
        <v>1415869</v>
      </c>
      <c r="I72" s="30">
        <v>0.73821841519109699</v>
      </c>
      <c r="J72">
        <f t="shared" si="8"/>
        <v>2021.5</v>
      </c>
      <c r="K72" s="29">
        <f>(VALUE(MID(AandE_Data[[#This Row],[Quarter &amp; Year]],4,4)) + (MID(AandE_Data[[#This Row],[Quarter &amp; Year]],2,1)-1)/4)</f>
        <v>2021.5</v>
      </c>
      <c r="L72" s="36">
        <v>95</v>
      </c>
    </row>
    <row r="73" spans="1:12" x14ac:dyDescent="0.25">
      <c r="A73" s="34" t="str">
        <f t="shared" si="6"/>
        <v>2021</v>
      </c>
      <c r="B73" s="6" t="s">
        <v>18</v>
      </c>
      <c r="C73" s="11" t="s">
        <v>27</v>
      </c>
      <c r="D73" s="21" t="str">
        <f t="shared" si="7"/>
        <v>Q4</v>
      </c>
      <c r="E73" s="21" t="str">
        <f t="shared" si="5"/>
        <v>Q4 2021-22</v>
      </c>
      <c r="F73" s="29">
        <v>5875363</v>
      </c>
      <c r="G73" s="29">
        <v>3817195</v>
      </c>
      <c r="H73" s="29">
        <v>1411164</v>
      </c>
      <c r="I73" s="30">
        <v>0.73009428005995758</v>
      </c>
      <c r="J73">
        <f t="shared" si="8"/>
        <v>2021.75</v>
      </c>
      <c r="K73" s="29">
        <f>(VALUE(MID(AandE_Data[[#This Row],[Quarter &amp; Year]],4,4)) + (MID(AandE_Data[[#This Row],[Quarter &amp; Year]],2,1)-1)/4)</f>
        <v>2021.75</v>
      </c>
      <c r="L73" s="36">
        <v>95</v>
      </c>
    </row>
    <row r="74" spans="1:12" x14ac:dyDescent="0.25">
      <c r="A74" s="34" t="str">
        <f t="shared" si="6"/>
        <v>2022</v>
      </c>
      <c r="B74" s="6" t="s">
        <v>19</v>
      </c>
      <c r="C74" s="13" t="s">
        <v>24</v>
      </c>
      <c r="D74" s="21" t="str">
        <f t="shared" si="7"/>
        <v>Q1</v>
      </c>
      <c r="E74" s="21" t="str">
        <f t="shared" si="5"/>
        <v>Q1 2022-23</v>
      </c>
      <c r="F74" s="29">
        <v>6453540</v>
      </c>
      <c r="G74" s="29">
        <v>4172979</v>
      </c>
      <c r="H74" s="29">
        <v>1591838</v>
      </c>
      <c r="I74" s="30">
        <v>0.72387015927825638</v>
      </c>
      <c r="J74">
        <f t="shared" si="8"/>
        <v>2022</v>
      </c>
      <c r="K74" s="29">
        <f>(VALUE(MID(AandE_Data[[#This Row],[Quarter &amp; Year]],4,4)) + (MID(AandE_Data[[#This Row],[Quarter &amp; Year]],2,1)-1)/4)</f>
        <v>2022</v>
      </c>
      <c r="L74" s="36">
        <v>95</v>
      </c>
    </row>
    <row r="75" spans="1:12" x14ac:dyDescent="0.25">
      <c r="A75" s="34" t="str">
        <f t="shared" si="6"/>
        <v>2022</v>
      </c>
      <c r="B75" s="6" t="s">
        <v>19</v>
      </c>
      <c r="C75" s="13" t="s">
        <v>25</v>
      </c>
      <c r="D75" s="21" t="str">
        <f t="shared" si="7"/>
        <v>Q2</v>
      </c>
      <c r="E75" s="21" t="str">
        <f t="shared" si="5"/>
        <v>Q2 2022-23</v>
      </c>
      <c r="F75" s="29">
        <v>6185823</v>
      </c>
      <c r="G75" s="29">
        <v>3933277</v>
      </c>
      <c r="H75" s="29">
        <v>1585749</v>
      </c>
      <c r="I75" s="30">
        <v>0.71267593231124482</v>
      </c>
      <c r="J75">
        <f t="shared" si="8"/>
        <v>2022.25</v>
      </c>
      <c r="K75" s="29">
        <f>(VALUE(MID(AandE_Data[[#This Row],[Quarter &amp; Year]],4,4)) + (MID(AandE_Data[[#This Row],[Quarter &amp; Year]],2,1)-1)/4)</f>
        <v>2022.25</v>
      </c>
      <c r="L75" s="36">
        <v>95</v>
      </c>
    </row>
    <row r="76" spans="1:12" x14ac:dyDescent="0.25">
      <c r="A76" s="34" t="str">
        <f t="shared" si="6"/>
        <v>2022</v>
      </c>
      <c r="B76" s="6" t="s">
        <v>19</v>
      </c>
      <c r="C76" s="13" t="s">
        <v>26</v>
      </c>
      <c r="D76" s="21" t="str">
        <f t="shared" si="7"/>
        <v>Q3</v>
      </c>
      <c r="E76" s="21" t="str">
        <f t="shared" si="5"/>
        <v>Q3 2022-23</v>
      </c>
      <c r="F76" s="29">
        <v>6660911</v>
      </c>
      <c r="G76" s="29">
        <v>4033103</v>
      </c>
      <c r="H76" s="29">
        <v>1909303</v>
      </c>
      <c r="I76" s="30">
        <v>0.67869866178783478</v>
      </c>
      <c r="J76">
        <f t="shared" si="8"/>
        <v>2022.5</v>
      </c>
      <c r="K76" s="29">
        <f>(VALUE(MID(AandE_Data[[#This Row],[Quarter &amp; Year]],4,4)) + (MID(AandE_Data[[#This Row],[Quarter &amp; Year]],2,1)-1)/4)</f>
        <v>2022.5</v>
      </c>
      <c r="L76" s="36">
        <v>95</v>
      </c>
    </row>
    <row r="77" spans="1:12" x14ac:dyDescent="0.25">
      <c r="A77" s="34" t="str">
        <f t="shared" si="6"/>
        <v>2022</v>
      </c>
      <c r="B77" s="6" t="s">
        <v>19</v>
      </c>
      <c r="C77" s="13" t="s">
        <v>27</v>
      </c>
      <c r="D77" s="21" t="str">
        <f t="shared" si="7"/>
        <v>Q4</v>
      </c>
      <c r="E77" s="21" t="str">
        <f t="shared" si="5"/>
        <v>Q4 2022-23</v>
      </c>
      <c r="F77" s="29">
        <v>6048568</v>
      </c>
      <c r="G77" s="29">
        <v>3877734</v>
      </c>
      <c r="H77" s="29">
        <v>1519875</v>
      </c>
      <c r="I77" s="30">
        <v>0.71841698796633846</v>
      </c>
      <c r="J77">
        <f t="shared" si="8"/>
        <v>2022.75</v>
      </c>
      <c r="K77" s="29">
        <f>(VALUE(MID(AandE_Data[[#This Row],[Quarter &amp; Year]],4,4)) + (MID(AandE_Data[[#This Row],[Quarter &amp; Year]],2,1)-1)/4)</f>
        <v>2022.75</v>
      </c>
      <c r="L77" s="36">
        <v>95</v>
      </c>
    </row>
    <row r="78" spans="1:12" x14ac:dyDescent="0.25">
      <c r="A78" s="34" t="str">
        <f t="shared" si="6"/>
        <v>2023</v>
      </c>
      <c r="B78" s="6" t="s">
        <v>20</v>
      </c>
      <c r="C78" s="13" t="s">
        <v>24</v>
      </c>
      <c r="D78" s="21" t="str">
        <f t="shared" si="7"/>
        <v>Q1</v>
      </c>
      <c r="E78" s="21" t="str">
        <f t="shared" si="5"/>
        <v>Q1 2023-24</v>
      </c>
      <c r="F78" s="29">
        <v>6505685</v>
      </c>
      <c r="G78" s="29">
        <v>4300517</v>
      </c>
      <c r="H78" s="29">
        <v>1493862</v>
      </c>
      <c r="I78" s="30">
        <v>0.74218773055749376</v>
      </c>
      <c r="J78">
        <f t="shared" si="8"/>
        <v>2023</v>
      </c>
      <c r="K78" s="29">
        <f>(VALUE(MID(AandE_Data[[#This Row],[Quarter &amp; Year]],4,4)) + (MID(AandE_Data[[#This Row],[Quarter &amp; Year]],2,1)-1)/4)</f>
        <v>2023</v>
      </c>
      <c r="L78" s="36">
        <v>95</v>
      </c>
    </row>
    <row r="79" spans="1:12" x14ac:dyDescent="0.25">
      <c r="A79" s="34" t="str">
        <f t="shared" si="6"/>
        <v>2023</v>
      </c>
      <c r="B79" s="6" t="s">
        <v>20</v>
      </c>
      <c r="C79" s="14" t="s">
        <v>25</v>
      </c>
      <c r="D79" s="21" t="str">
        <f t="shared" si="7"/>
        <v>Q2</v>
      </c>
      <c r="E79" s="21" t="str">
        <f t="shared" si="5"/>
        <v>Q2 2023-24</v>
      </c>
      <c r="F79" s="29">
        <v>6479694</v>
      </c>
      <c r="G79" s="29">
        <v>4725250</v>
      </c>
      <c r="H79" s="29">
        <v>1754444</v>
      </c>
      <c r="I79" s="30">
        <v>0.72923968323195509</v>
      </c>
      <c r="J79">
        <f t="shared" si="8"/>
        <v>2023.25</v>
      </c>
      <c r="K79" s="29">
        <f>(VALUE(MID(AandE_Data[[#This Row],[Quarter &amp; Year]],4,4)) + (MID(AandE_Data[[#This Row],[Quarter &amp; Year]],2,1)-1)/4)</f>
        <v>2023.25</v>
      </c>
      <c r="L79" s="36">
        <v>95</v>
      </c>
    </row>
    <row r="80" spans="1:12" x14ac:dyDescent="0.25">
      <c r="A80" s="34" t="str">
        <f t="shared" si="6"/>
        <v>2023</v>
      </c>
      <c r="B80" s="6" t="s">
        <v>20</v>
      </c>
      <c r="C80" s="14" t="s">
        <v>26</v>
      </c>
      <c r="D80" s="21" t="str">
        <f t="shared" si="7"/>
        <v>Q3</v>
      </c>
      <c r="E80" s="21" t="str">
        <f t="shared" si="5"/>
        <v>Q3 2023-24</v>
      </c>
      <c r="F80" s="29">
        <v>6576822</v>
      </c>
      <c r="G80" s="29">
        <v>4596061</v>
      </c>
      <c r="H80" s="29">
        <v>1980761</v>
      </c>
      <c r="I80" s="30">
        <v>0.69882703226573561</v>
      </c>
      <c r="J80">
        <f t="shared" si="8"/>
        <v>2023.5</v>
      </c>
      <c r="K80" s="29">
        <f>(VALUE(MID(AandE_Data[[#This Row],[Quarter &amp; Year]],4,4)) + (MID(AandE_Data[[#This Row],[Quarter &amp; Year]],2,1)-1)/4)</f>
        <v>2023.5</v>
      </c>
      <c r="L80" s="36">
        <v>95</v>
      </c>
    </row>
    <row r="81" spans="1:12" x14ac:dyDescent="0.25">
      <c r="A81" s="34" t="str">
        <f t="shared" si="6"/>
        <v>2023</v>
      </c>
      <c r="B81" s="6" t="s">
        <v>20</v>
      </c>
      <c r="C81" s="14" t="s">
        <v>27</v>
      </c>
      <c r="D81" s="21" t="str">
        <f t="shared" si="7"/>
        <v>Q4</v>
      </c>
      <c r="E81" s="21" t="str">
        <f t="shared" si="5"/>
        <v>Q4 2023-24</v>
      </c>
      <c r="F81" s="29">
        <v>6758868</v>
      </c>
      <c r="G81" s="29">
        <v>4863755</v>
      </c>
      <c r="H81" s="29">
        <v>1895113</v>
      </c>
      <c r="I81" s="30">
        <v>0.7196108875036471</v>
      </c>
      <c r="J81">
        <f t="shared" si="8"/>
        <v>2023.75</v>
      </c>
      <c r="K81" s="29">
        <f>(VALUE(MID(AandE_Data[[#This Row],[Quarter &amp; Year]],4,4)) + (MID(AandE_Data[[#This Row],[Quarter &amp; Year]],2,1)-1)/4)</f>
        <v>2023.75</v>
      </c>
      <c r="L81" s="36">
        <v>95</v>
      </c>
    </row>
    <row r="82" spans="1:12" x14ac:dyDescent="0.25">
      <c r="A82" s="34" t="str">
        <f t="shared" si="6"/>
        <v>2024</v>
      </c>
      <c r="B82" s="7" t="s">
        <v>21</v>
      </c>
      <c r="C82" s="15" t="s">
        <v>24</v>
      </c>
      <c r="D82" s="21" t="str">
        <f t="shared" si="7"/>
        <v>Q1</v>
      </c>
      <c r="E82" s="21" t="str">
        <f t="shared" si="5"/>
        <v>Q1 2024-25</v>
      </c>
      <c r="F82" s="29">
        <v>6951025</v>
      </c>
      <c r="G82" s="29">
        <v>5167199</v>
      </c>
      <c r="H82" s="29">
        <v>1783826</v>
      </c>
      <c r="I82" s="30">
        <v>0.74337223646872219</v>
      </c>
      <c r="J82">
        <f t="shared" si="8"/>
        <v>2024</v>
      </c>
      <c r="K82" s="29">
        <f>(VALUE(MID(AandE_Data[[#This Row],[Quarter &amp; Year]],4,4)) + (MID(AandE_Data[[#This Row],[Quarter &amp; Year]],2,1)-1)/4)</f>
        <v>2024</v>
      </c>
      <c r="L82" s="36">
        <v>95</v>
      </c>
    </row>
    <row r="83" spans="1:12" x14ac:dyDescent="0.25">
      <c r="A83" s="34" t="str">
        <f t="shared" si="6"/>
        <v>2024</v>
      </c>
      <c r="B83" s="7" t="s">
        <v>21</v>
      </c>
      <c r="C83" s="16" t="s">
        <v>30</v>
      </c>
      <c r="D83" s="21" t="str">
        <f t="shared" si="7"/>
        <v>Q2</v>
      </c>
      <c r="E83" s="21" t="str">
        <f t="shared" si="5"/>
        <v>Q2 2024-25</v>
      </c>
      <c r="F83" s="29">
        <v>6699840</v>
      </c>
      <c r="G83" s="29">
        <v>5041407</v>
      </c>
      <c r="H83" s="29">
        <v>1658433</v>
      </c>
      <c r="I83" s="30">
        <v>0.75246677532597794</v>
      </c>
      <c r="J83">
        <f t="shared" si="8"/>
        <v>2024.25</v>
      </c>
      <c r="K83" s="29">
        <f>(VALUE(MID(AandE_Data[[#This Row],[Quarter &amp; Year]],4,4)) + (MID(AandE_Data[[#This Row],[Quarter &amp; Year]],2,1)-1)/4)</f>
        <v>2024.25</v>
      </c>
      <c r="L83" s="36">
        <v>95</v>
      </c>
    </row>
    <row r="84" spans="1:12" x14ac:dyDescent="0.25">
      <c r="A84" s="34" t="str">
        <f t="shared" si="6"/>
        <v>2024</v>
      </c>
      <c r="B84" s="7" t="s">
        <v>21</v>
      </c>
      <c r="C84" s="16" t="s">
        <v>26</v>
      </c>
      <c r="D84" s="21" t="str">
        <f t="shared" si="7"/>
        <v>Q3</v>
      </c>
      <c r="E84" s="21" t="str">
        <f t="shared" si="5"/>
        <v>Q3 2024-25</v>
      </c>
      <c r="F84" s="29">
        <v>7021468</v>
      </c>
      <c r="G84" s="29">
        <v>5064657</v>
      </c>
      <c r="H84" s="29">
        <v>1956811</v>
      </c>
      <c r="I84" s="30">
        <v>0.72131027300843642</v>
      </c>
      <c r="J84">
        <f t="shared" si="8"/>
        <v>2024.5</v>
      </c>
      <c r="K84" s="29">
        <f>(VALUE(MID(AandE_Data[[#This Row],[Quarter &amp; Year]],4,4)) + (MID(AandE_Data[[#This Row],[Quarter &amp; Year]],2,1)-1)/4)</f>
        <v>2024.5</v>
      </c>
      <c r="L84" s="36">
        <v>95</v>
      </c>
    </row>
    <row r="85" spans="1:12" x14ac:dyDescent="0.25">
      <c r="A85" s="34" t="str">
        <f t="shared" si="6"/>
        <v>2024</v>
      </c>
      <c r="B85" s="7" t="s">
        <v>21</v>
      </c>
      <c r="C85" s="14" t="s">
        <v>27</v>
      </c>
      <c r="D85" s="21" t="str">
        <f t="shared" si="7"/>
        <v>Q4</v>
      </c>
      <c r="E85" s="21" t="str">
        <f t="shared" si="5"/>
        <v>Q4 2024-25</v>
      </c>
      <c r="F85" s="29">
        <v>6695265</v>
      </c>
      <c r="G85" s="29">
        <v>4944625</v>
      </c>
      <c r="H85" s="29">
        <v>1750640</v>
      </c>
      <c r="I85" s="30">
        <v>0.73852565955193705</v>
      </c>
      <c r="J85">
        <f t="shared" si="8"/>
        <v>2024.75</v>
      </c>
      <c r="K85" s="29">
        <f>(VALUE(MID(AandE_Data[[#This Row],[Quarter &amp; Year]],4,4)) + (MID(AandE_Data[[#This Row],[Quarter &amp; Year]],2,1)-1)/4)</f>
        <v>2024.75</v>
      </c>
      <c r="L85" s="36">
        <v>95</v>
      </c>
    </row>
    <row r="86" spans="1:12" x14ac:dyDescent="0.25">
      <c r="A86" s="34" t="str">
        <f t="shared" si="6"/>
        <v>2025</v>
      </c>
      <c r="B86" s="8" t="s">
        <v>22</v>
      </c>
      <c r="C86" s="16" t="s">
        <v>24</v>
      </c>
      <c r="D86" s="21" t="str">
        <f t="shared" si="7"/>
        <v>Q1</v>
      </c>
      <c r="E86" s="21" t="str">
        <f t="shared" si="5"/>
        <v>Q1 2025-26</v>
      </c>
      <c r="F86" s="29">
        <v>7046531</v>
      </c>
      <c r="G86" s="29">
        <v>5302665</v>
      </c>
      <c r="H86" s="29">
        <v>1743866</v>
      </c>
      <c r="I86" s="30">
        <v>0.75252134702877205</v>
      </c>
      <c r="J86">
        <f t="shared" si="8"/>
        <v>2025</v>
      </c>
      <c r="K86" s="29">
        <f>(VALUE(MID(AandE_Data[[#This Row],[Quarter &amp; Year]],4,4)) + (MID(AandE_Data[[#This Row],[Quarter &amp; Year]],2,1)-1)/4)</f>
        <v>2025</v>
      </c>
      <c r="L86" s="36">
        <v>95</v>
      </c>
    </row>
    <row r="87" spans="1:12" x14ac:dyDescent="0.25">
      <c r="A87" s="34" t="str">
        <f t="shared" si="6"/>
        <v>2025</v>
      </c>
      <c r="B87" s="8" t="s">
        <v>22</v>
      </c>
      <c r="C87" s="16" t="s">
        <v>25</v>
      </c>
      <c r="D87" s="21" t="str">
        <f t="shared" si="7"/>
        <v>Q2</v>
      </c>
      <c r="E87" s="21" t="str">
        <f t="shared" si="5"/>
        <v>Q2 2025-26</v>
      </c>
      <c r="F87" s="29">
        <v>6986025</v>
      </c>
      <c r="G87" s="29">
        <v>5294459</v>
      </c>
      <c r="H87" s="29">
        <v>1691566</v>
      </c>
      <c r="I87" s="30">
        <v>0.75786430767138679</v>
      </c>
      <c r="J87">
        <f t="shared" si="8"/>
        <v>2025.25</v>
      </c>
      <c r="K87" s="29">
        <f>(VALUE(MID(AandE_Data[[#This Row],[Quarter &amp; Year]],4,4)) + (MID(AandE_Data[[#This Row],[Quarter &amp; Year]],2,1)-1)/4)</f>
        <v>2025.25</v>
      </c>
      <c r="L87" s="36">
        <v>95</v>
      </c>
    </row>
    <row r="88" spans="1:12" x14ac:dyDescent="0.25">
      <c r="A88" s="34" t="str">
        <f t="shared" si="6"/>
        <v>2025</v>
      </c>
      <c r="B88" s="8" t="s">
        <v>22</v>
      </c>
      <c r="C88" s="17" t="s">
        <v>26</v>
      </c>
      <c r="D88" s="21" t="str">
        <f t="shared" si="7"/>
        <v>Q3</v>
      </c>
      <c r="E88" s="21" t="str">
        <f t="shared" si="5"/>
        <v>Q3 2025-26</v>
      </c>
      <c r="F88" s="29">
        <v>7070576</v>
      </c>
      <c r="G88" s="29">
        <v>5237013</v>
      </c>
      <c r="H88" s="29">
        <v>1833563</v>
      </c>
      <c r="I88" s="30">
        <v>0.74067699717816482</v>
      </c>
      <c r="J88">
        <f t="shared" si="8"/>
        <v>2025.5</v>
      </c>
      <c r="K88" s="37">
        <f>(VALUE(MID(AandE_Data[[#This Row],[Quarter &amp; Year]],4,4)) + (MID(AandE_Data[[#This Row],[Quarter &amp; Year]],2,1)-1)/4)</f>
        <v>2025.5</v>
      </c>
      <c r="L88" s="36">
        <v>95</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Dashboard</vt:lpstr>
      <vt:lpstr>Sheet3</vt:lpstr>
      <vt:lpstr>Sheet4</vt:lpstr>
      <vt:lpstr>Detail1</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Waqas [Student-PECS]</dc:creator>
  <cp:lastModifiedBy>Muhammad Waqas [Student-PECS]</cp:lastModifiedBy>
  <cp:lastPrinted>2026-02-25T03:19:05Z</cp:lastPrinted>
  <dcterms:created xsi:type="dcterms:W3CDTF">2026-02-23T02:28:37Z</dcterms:created>
  <dcterms:modified xsi:type="dcterms:W3CDTF">2026-02-26T00:10:08Z</dcterms:modified>
</cp:coreProperties>
</file>